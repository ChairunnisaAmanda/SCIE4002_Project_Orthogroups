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irunnisanuramanda/Documents/Master/SCIE4002/GroupProject/"/>
    </mc:Choice>
  </mc:AlternateContent>
  <xr:revisionPtr revIDLastSave="0" documentId="8_{25DC4A12-3105-CA4F-82C5-7DDBBCB3CFBC}" xr6:coauthVersionLast="47" xr6:coauthVersionMax="47" xr10:uidLastSave="{00000000-0000-0000-0000-000000000000}"/>
  <bookViews>
    <workbookView xWindow="0" yWindow="660" windowWidth="29400" windowHeight="18460" activeTab="4" xr2:uid="{18A508F5-B2AF-034F-86A7-2FFBBFBDE46B}"/>
  </bookViews>
  <sheets>
    <sheet name="S1" sheetId="1" r:id="rId1"/>
    <sheet name="S2" sheetId="2" r:id="rId2"/>
    <sheet name="S3" sheetId="3" r:id="rId3"/>
    <sheet name="S4" sheetId="4" r:id="rId4"/>
    <sheet name="S5" sheetId="5" r:id="rId5"/>
  </sheets>
  <externalReferences>
    <externalReference r:id="rId6"/>
  </externalReference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85" i="5" l="1"/>
  <c r="B85" i="5"/>
  <c r="D84" i="5"/>
  <c r="B84" i="5"/>
  <c r="D83" i="5"/>
  <c r="B83" i="5"/>
  <c r="D82" i="5"/>
  <c r="B82" i="5"/>
  <c r="D81" i="5"/>
  <c r="B81" i="5"/>
  <c r="D80" i="5"/>
  <c r="B80" i="5"/>
  <c r="D79" i="5"/>
  <c r="B79" i="5"/>
  <c r="D78" i="5"/>
  <c r="B78" i="5"/>
  <c r="D77" i="5"/>
  <c r="B77" i="5"/>
  <c r="D76" i="5"/>
  <c r="B76" i="5"/>
  <c r="D75" i="5"/>
  <c r="B75" i="5"/>
  <c r="D74" i="5"/>
  <c r="B74" i="5"/>
  <c r="D73" i="5"/>
  <c r="B73" i="5"/>
  <c r="D72" i="5"/>
  <c r="B72" i="5"/>
  <c r="D71" i="5"/>
  <c r="B71" i="5"/>
  <c r="D70" i="5"/>
  <c r="B70" i="5"/>
  <c r="D69" i="5"/>
  <c r="B69" i="5"/>
  <c r="D68" i="5"/>
  <c r="B68" i="5"/>
  <c r="D67" i="5"/>
  <c r="B67" i="5"/>
  <c r="D66" i="5"/>
  <c r="B66" i="5"/>
  <c r="D65" i="5"/>
  <c r="B65" i="5"/>
  <c r="D64" i="5"/>
  <c r="B64" i="5"/>
  <c r="D63" i="5"/>
  <c r="B63" i="5"/>
  <c r="D62" i="5"/>
  <c r="B62" i="5"/>
  <c r="D61" i="5"/>
  <c r="B61" i="5"/>
  <c r="D60" i="5"/>
  <c r="B60" i="5"/>
  <c r="D59" i="5"/>
  <c r="B59" i="5"/>
  <c r="D58" i="5"/>
  <c r="B58" i="5"/>
  <c r="D57" i="5"/>
  <c r="B57" i="5"/>
  <c r="D56" i="5"/>
  <c r="B56" i="5"/>
  <c r="D55" i="5"/>
  <c r="B55" i="5"/>
  <c r="D54" i="5"/>
  <c r="B54" i="5"/>
  <c r="D53" i="5"/>
  <c r="B53" i="5"/>
  <c r="D52" i="5"/>
  <c r="B52" i="5"/>
  <c r="D51" i="5"/>
  <c r="B51" i="5"/>
  <c r="D50" i="5"/>
  <c r="B50" i="5"/>
  <c r="D49" i="5"/>
  <c r="B49" i="5"/>
  <c r="D48" i="5"/>
  <c r="B48" i="5"/>
  <c r="D47" i="5"/>
  <c r="B47" i="5"/>
  <c r="D46" i="5"/>
  <c r="B46" i="5"/>
  <c r="D45" i="5"/>
  <c r="B45" i="5"/>
  <c r="D44" i="5"/>
  <c r="B44" i="5"/>
  <c r="D43" i="5"/>
  <c r="B43" i="5"/>
  <c r="D42" i="5"/>
  <c r="B42" i="5"/>
  <c r="D41" i="5"/>
  <c r="B41" i="5"/>
  <c r="D40" i="5"/>
  <c r="B40" i="5"/>
  <c r="D39" i="5"/>
  <c r="B39" i="5"/>
  <c r="D38" i="5"/>
  <c r="B38" i="5"/>
  <c r="D37" i="5"/>
  <c r="B37" i="5"/>
  <c r="D36" i="5"/>
  <c r="B36" i="5"/>
  <c r="D35" i="5"/>
  <c r="B35" i="5"/>
  <c r="D34" i="5"/>
  <c r="B34" i="5"/>
  <c r="D33" i="5"/>
  <c r="B33" i="5"/>
  <c r="D32" i="5"/>
  <c r="B32" i="5"/>
  <c r="D31" i="5"/>
  <c r="B31" i="5"/>
  <c r="D30" i="5"/>
  <c r="B30" i="5"/>
  <c r="D29" i="5"/>
  <c r="B29" i="5"/>
  <c r="D28" i="5"/>
  <c r="B28" i="5"/>
  <c r="D27" i="5"/>
  <c r="B27" i="5"/>
  <c r="D26" i="5"/>
  <c r="B26" i="5"/>
  <c r="D25" i="5"/>
  <c r="B25" i="5"/>
  <c r="D24" i="5"/>
  <c r="B24" i="5"/>
  <c r="D23" i="5"/>
  <c r="B23" i="5"/>
  <c r="D22" i="5"/>
  <c r="B22" i="5"/>
  <c r="D21" i="5"/>
  <c r="B21" i="5"/>
  <c r="D20" i="5"/>
  <c r="B20" i="5"/>
  <c r="D19" i="5"/>
  <c r="B19" i="5"/>
  <c r="D18" i="5"/>
  <c r="B18" i="5"/>
  <c r="D17" i="5"/>
  <c r="B17" i="5"/>
  <c r="D16" i="5"/>
  <c r="B16" i="5"/>
  <c r="D15" i="5"/>
  <c r="B15" i="5"/>
  <c r="D14" i="5"/>
  <c r="B14" i="5"/>
  <c r="D13" i="5"/>
  <c r="B13" i="5"/>
  <c r="D12" i="5"/>
  <c r="B12" i="5"/>
  <c r="D11" i="5"/>
  <c r="B11" i="5"/>
  <c r="D10" i="5"/>
  <c r="B10" i="5"/>
  <c r="D9" i="5"/>
  <c r="B9" i="5"/>
  <c r="D8" i="5"/>
  <c r="B8" i="5"/>
  <c r="D7" i="5"/>
  <c r="B7" i="5"/>
  <c r="D6" i="5"/>
  <c r="B6" i="5"/>
  <c r="D5" i="5"/>
  <c r="B5" i="5"/>
  <c r="D4" i="5"/>
  <c r="B4" i="5"/>
  <c r="D372" i="2"/>
  <c r="C372" i="2"/>
  <c r="E372" i="2" s="1"/>
  <c r="D371" i="2"/>
  <c r="C371" i="2"/>
  <c r="E371" i="2" s="1"/>
  <c r="D370" i="2"/>
  <c r="C370" i="2"/>
  <c r="E370" i="2" s="1"/>
  <c r="D369" i="2"/>
  <c r="C369" i="2"/>
  <c r="E369" i="2" s="1"/>
  <c r="D368" i="2"/>
  <c r="C368" i="2"/>
  <c r="D367" i="2"/>
  <c r="C367" i="2"/>
  <c r="E367" i="2" s="1"/>
  <c r="D366" i="2"/>
  <c r="C366" i="2"/>
  <c r="D365" i="2"/>
  <c r="C365" i="2"/>
  <c r="E365" i="2" s="1"/>
  <c r="D364" i="2"/>
  <c r="C364" i="2"/>
  <c r="E364" i="2" s="1"/>
  <c r="D363" i="2"/>
  <c r="C363" i="2"/>
  <c r="D362" i="2"/>
  <c r="C362" i="2"/>
  <c r="D361" i="2"/>
  <c r="C361" i="2"/>
  <c r="E361" i="2" s="1"/>
  <c r="D360" i="2"/>
  <c r="C360" i="2"/>
  <c r="E360" i="2" s="1"/>
  <c r="D359" i="2"/>
  <c r="C359" i="2"/>
  <c r="D358" i="2"/>
  <c r="C358" i="2"/>
  <c r="D357" i="2"/>
  <c r="C357" i="2"/>
  <c r="E357" i="2" s="1"/>
  <c r="D356" i="2"/>
  <c r="C356" i="2"/>
  <c r="D355" i="2"/>
  <c r="C355" i="2"/>
  <c r="E355" i="2" s="1"/>
  <c r="D354" i="2"/>
  <c r="C354" i="2"/>
  <c r="E354" i="2" s="1"/>
  <c r="D353" i="2"/>
  <c r="C353" i="2"/>
  <c r="E353" i="2" s="1"/>
  <c r="D352" i="2"/>
  <c r="C352" i="2"/>
  <c r="E352" i="2" s="1"/>
  <c r="D351" i="2"/>
  <c r="C351" i="2"/>
  <c r="E351" i="2" s="1"/>
  <c r="D350" i="2"/>
  <c r="C350" i="2"/>
  <c r="D349" i="2"/>
  <c r="C349" i="2"/>
  <c r="E349" i="2" s="1"/>
  <c r="D348" i="2"/>
  <c r="C348" i="2"/>
  <c r="D347" i="2"/>
  <c r="C347" i="2"/>
  <c r="E347" i="2" s="1"/>
  <c r="D346" i="2"/>
  <c r="C346" i="2"/>
  <c r="D345" i="2"/>
  <c r="C345" i="2"/>
  <c r="D344" i="2"/>
  <c r="C344" i="2"/>
  <c r="E344" i="2" s="1"/>
  <c r="D343" i="2"/>
  <c r="C343" i="2"/>
  <c r="E343" i="2" s="1"/>
  <c r="D342" i="2"/>
  <c r="C342" i="2"/>
  <c r="E342" i="2" s="1"/>
  <c r="D341" i="2"/>
  <c r="C341" i="2"/>
  <c r="E341" i="2" s="1"/>
  <c r="D340" i="2"/>
  <c r="C340" i="2"/>
  <c r="E340" i="2" s="1"/>
  <c r="D339" i="2"/>
  <c r="C339" i="2"/>
  <c r="E339" i="2" s="1"/>
  <c r="D338" i="2"/>
  <c r="C338" i="2"/>
  <c r="E337" i="2"/>
  <c r="D337" i="2"/>
  <c r="C337" i="2"/>
  <c r="D336" i="2"/>
  <c r="C336" i="2"/>
  <c r="D335" i="2"/>
  <c r="C335" i="2"/>
  <c r="E335" i="2" s="1"/>
  <c r="D334" i="2"/>
  <c r="C334" i="2"/>
  <c r="E334" i="2" s="1"/>
  <c r="D333" i="2"/>
  <c r="C333" i="2"/>
  <c r="E333" i="2" s="1"/>
  <c r="D332" i="2"/>
  <c r="C332" i="2"/>
  <c r="E332" i="2" s="1"/>
  <c r="D331" i="2"/>
  <c r="C331" i="2"/>
  <c r="E331" i="2" s="1"/>
  <c r="D330" i="2"/>
  <c r="C330" i="2"/>
  <c r="E330" i="2" s="1"/>
  <c r="D329" i="2"/>
  <c r="C329" i="2"/>
  <c r="E329" i="2" s="1"/>
  <c r="D328" i="2"/>
  <c r="C328" i="2"/>
  <c r="D327" i="2"/>
  <c r="C327" i="2"/>
  <c r="E327" i="2" s="1"/>
  <c r="D326" i="2"/>
  <c r="C326" i="2"/>
  <c r="D325" i="2"/>
  <c r="C325" i="2"/>
  <c r="E325" i="2" s="1"/>
  <c r="D324" i="2"/>
  <c r="C324" i="2"/>
  <c r="D323" i="2"/>
  <c r="C323" i="2"/>
  <c r="D322" i="2"/>
  <c r="C322" i="2"/>
  <c r="E322" i="2" s="1"/>
  <c r="D321" i="2"/>
  <c r="C321" i="2"/>
  <c r="E321" i="2" s="1"/>
  <c r="D320" i="2"/>
  <c r="C320" i="2"/>
  <c r="E320" i="2" s="1"/>
  <c r="D319" i="2"/>
  <c r="C319" i="2"/>
  <c r="D318" i="2"/>
  <c r="C318" i="2"/>
  <c r="D317" i="2"/>
  <c r="C317" i="2"/>
  <c r="E317" i="2" s="1"/>
  <c r="D316" i="2"/>
  <c r="C316" i="2"/>
  <c r="E316" i="2" s="1"/>
  <c r="D315" i="2"/>
  <c r="C315" i="2"/>
  <c r="D314" i="2"/>
  <c r="C314" i="2"/>
  <c r="D313" i="2"/>
  <c r="C313" i="2"/>
  <c r="E313" i="2" s="1"/>
  <c r="D312" i="2"/>
  <c r="C312" i="2"/>
  <c r="E312" i="2" s="1"/>
  <c r="D311" i="2"/>
  <c r="C311" i="2"/>
  <c r="D310" i="2"/>
  <c r="C310" i="2"/>
  <c r="D309" i="2"/>
  <c r="C309" i="2"/>
  <c r="D308" i="2"/>
  <c r="C308" i="2"/>
  <c r="D307" i="2"/>
  <c r="C307" i="2"/>
  <c r="E307" i="2" s="1"/>
  <c r="D306" i="2"/>
  <c r="C306" i="2"/>
  <c r="E306" i="2" s="1"/>
  <c r="D305" i="2"/>
  <c r="C305" i="2"/>
  <c r="E305" i="2" s="1"/>
  <c r="D304" i="2"/>
  <c r="C304" i="2"/>
  <c r="E304" i="2" s="1"/>
  <c r="D303" i="2"/>
  <c r="C303" i="2"/>
  <c r="E303" i="2" s="1"/>
  <c r="D302" i="2"/>
  <c r="C302" i="2"/>
  <c r="D301" i="2"/>
  <c r="C301" i="2"/>
  <c r="E301" i="2" s="1"/>
  <c r="D300" i="2"/>
  <c r="C300" i="2"/>
  <c r="E300" i="2" s="1"/>
  <c r="D299" i="2"/>
  <c r="C299" i="2"/>
  <c r="D298" i="2"/>
  <c r="C298" i="2"/>
  <c r="D297" i="2"/>
  <c r="C297" i="2"/>
  <c r="E297" i="2" s="1"/>
  <c r="D296" i="2"/>
  <c r="C296" i="2"/>
  <c r="E296" i="2" s="1"/>
  <c r="D295" i="2"/>
  <c r="C295" i="2"/>
  <c r="E295" i="2" s="1"/>
  <c r="D294" i="2"/>
  <c r="C294" i="2"/>
  <c r="E294" i="2" s="1"/>
  <c r="D293" i="2"/>
  <c r="C293" i="2"/>
  <c r="D292" i="2"/>
  <c r="C292" i="2"/>
  <c r="E292" i="2" s="1"/>
  <c r="D291" i="2"/>
  <c r="C291" i="2"/>
  <c r="E291" i="2" s="1"/>
  <c r="D290" i="2"/>
  <c r="C290" i="2"/>
  <c r="E290" i="2" s="1"/>
  <c r="D289" i="2"/>
  <c r="C289" i="2"/>
  <c r="D288" i="2"/>
  <c r="C288" i="2"/>
  <c r="D287" i="2"/>
  <c r="C287" i="2"/>
  <c r="E287" i="2" s="1"/>
  <c r="D286" i="2"/>
  <c r="C286" i="2"/>
  <c r="E286" i="2" s="1"/>
  <c r="D285" i="2"/>
  <c r="C285" i="2"/>
  <c r="E285" i="2" s="1"/>
  <c r="D284" i="2"/>
  <c r="C284" i="2"/>
  <c r="E284" i="2" s="1"/>
  <c r="D283" i="2"/>
  <c r="C283" i="2"/>
  <c r="E283" i="2" s="1"/>
  <c r="D282" i="2"/>
  <c r="C282" i="2"/>
  <c r="E282" i="2" s="1"/>
  <c r="D281" i="2"/>
  <c r="C281" i="2"/>
  <c r="E281" i="2" s="1"/>
  <c r="D280" i="2"/>
  <c r="C280" i="2"/>
  <c r="E280" i="2" s="1"/>
  <c r="D279" i="2"/>
  <c r="C279" i="2"/>
  <c r="D278" i="2"/>
  <c r="C278" i="2"/>
  <c r="D277" i="2"/>
  <c r="C277" i="2"/>
  <c r="E277" i="2" s="1"/>
  <c r="D276" i="2"/>
  <c r="C276" i="2"/>
  <c r="D275" i="2"/>
  <c r="C275" i="2"/>
  <c r="D274" i="2"/>
  <c r="C274" i="2"/>
  <c r="E274" i="2" s="1"/>
  <c r="D273" i="2"/>
  <c r="C273" i="2"/>
  <c r="E273" i="2" s="1"/>
  <c r="D272" i="2"/>
  <c r="C272" i="2"/>
  <c r="E272" i="2" s="1"/>
  <c r="D271" i="2"/>
  <c r="C271" i="2"/>
  <c r="E271" i="2" s="1"/>
  <c r="D270" i="2"/>
  <c r="C270" i="2"/>
  <c r="E270" i="2" s="1"/>
  <c r="D269" i="2"/>
  <c r="C269" i="2"/>
  <c r="D268" i="2"/>
  <c r="C268" i="2"/>
  <c r="D267" i="2"/>
  <c r="C267" i="2"/>
  <c r="E267" i="2" s="1"/>
  <c r="D266" i="2"/>
  <c r="C266" i="2"/>
  <c r="E266" i="2" s="1"/>
  <c r="D265" i="2"/>
  <c r="C265" i="2"/>
  <c r="E265" i="2" s="1"/>
  <c r="D264" i="2"/>
  <c r="C264" i="2"/>
  <c r="D263" i="2"/>
  <c r="C263" i="2"/>
  <c r="D262" i="2"/>
  <c r="C262" i="2"/>
  <c r="E262" i="2" s="1"/>
  <c r="D261" i="2"/>
  <c r="C261" i="2"/>
  <c r="E261" i="2" s="1"/>
  <c r="D260" i="2"/>
  <c r="C260" i="2"/>
  <c r="E260" i="2" s="1"/>
  <c r="D259" i="2"/>
  <c r="C259" i="2"/>
  <c r="D258" i="2"/>
  <c r="C258" i="2"/>
  <c r="D257" i="2"/>
  <c r="C257" i="2"/>
  <c r="E257" i="2" s="1"/>
  <c r="D256" i="2"/>
  <c r="C256" i="2"/>
  <c r="E256" i="2" s="1"/>
  <c r="D255" i="2"/>
  <c r="C255" i="2"/>
  <c r="E255" i="2" s="1"/>
  <c r="D254" i="2"/>
  <c r="C254" i="2"/>
  <c r="D253" i="2"/>
  <c r="C253" i="2"/>
  <c r="D252" i="2"/>
  <c r="C252" i="2"/>
  <c r="E252" i="2" s="1"/>
  <c r="D251" i="2"/>
  <c r="C251" i="2"/>
  <c r="E251" i="2" s="1"/>
  <c r="D250" i="2"/>
  <c r="C250" i="2"/>
  <c r="D249" i="2"/>
  <c r="E249" i="2" s="1"/>
  <c r="C249" i="2"/>
  <c r="D248" i="2"/>
  <c r="C248" i="2"/>
  <c r="D247" i="2"/>
  <c r="C247" i="2"/>
  <c r="E247" i="2" s="1"/>
  <c r="D246" i="2"/>
  <c r="C246" i="2"/>
  <c r="E246" i="2" s="1"/>
  <c r="D245" i="2"/>
  <c r="C245" i="2"/>
  <c r="E245" i="2" s="1"/>
  <c r="D244" i="2"/>
  <c r="C244" i="2"/>
  <c r="D243" i="2"/>
  <c r="C243" i="2"/>
  <c r="D242" i="2"/>
  <c r="C242" i="2"/>
  <c r="E242" i="2" s="1"/>
  <c r="D241" i="2"/>
  <c r="C241" i="2"/>
  <c r="E241" i="2" s="1"/>
  <c r="D240" i="2"/>
  <c r="C240" i="2"/>
  <c r="E240" i="2" s="1"/>
  <c r="D239" i="2"/>
  <c r="C239" i="2"/>
  <c r="D238" i="2"/>
  <c r="C238" i="2"/>
  <c r="D237" i="2"/>
  <c r="C237" i="2"/>
  <c r="D236" i="2"/>
  <c r="C236" i="2"/>
  <c r="D235" i="2"/>
  <c r="C235" i="2"/>
  <c r="E235" i="2" s="1"/>
  <c r="D234" i="2"/>
  <c r="C234" i="2"/>
  <c r="E234" i="2" s="1"/>
  <c r="D233" i="2"/>
  <c r="C233" i="2"/>
  <c r="E233" i="2" s="1"/>
  <c r="D232" i="2"/>
  <c r="C232" i="2"/>
  <c r="E232" i="2" s="1"/>
  <c r="D231" i="2"/>
  <c r="C231" i="2"/>
  <c r="E231" i="2" s="1"/>
  <c r="D230" i="2"/>
  <c r="C230" i="2"/>
  <c r="D229" i="2"/>
  <c r="C229" i="2"/>
  <c r="D228" i="2"/>
  <c r="C228" i="2"/>
  <c r="D227" i="2"/>
  <c r="C227" i="2"/>
  <c r="E227" i="2" s="1"/>
  <c r="D226" i="2"/>
  <c r="C226" i="2"/>
  <c r="E226" i="2" s="1"/>
  <c r="D225" i="2"/>
  <c r="C225" i="2"/>
  <c r="E225" i="2" s="1"/>
  <c r="D224" i="2"/>
  <c r="C224" i="2"/>
  <c r="E224" i="2" s="1"/>
  <c r="D223" i="2"/>
  <c r="C223" i="2"/>
  <c r="E223" i="2" s="1"/>
  <c r="D222" i="2"/>
  <c r="C222" i="2"/>
  <c r="E222" i="2" s="1"/>
  <c r="D221" i="2"/>
  <c r="C221" i="2"/>
  <c r="E221" i="2" s="1"/>
  <c r="D220" i="2"/>
  <c r="C220" i="2"/>
  <c r="E220" i="2" s="1"/>
  <c r="D219" i="2"/>
  <c r="C219" i="2"/>
  <c r="D218" i="2"/>
  <c r="C218" i="2"/>
  <c r="E218" i="2" s="1"/>
  <c r="D217" i="2"/>
  <c r="C217" i="2"/>
  <c r="E217" i="2" s="1"/>
  <c r="D216" i="2"/>
  <c r="C216" i="2"/>
  <c r="E216" i="2" s="1"/>
  <c r="D215" i="2"/>
  <c r="C215" i="2"/>
  <c r="D214" i="2"/>
  <c r="C214" i="2"/>
  <c r="D213" i="2"/>
  <c r="C213" i="2"/>
  <c r="D212" i="2"/>
  <c r="C212" i="2"/>
  <c r="E212" i="2" s="1"/>
  <c r="D211" i="2"/>
  <c r="C211" i="2"/>
  <c r="D210" i="2"/>
  <c r="C210" i="2"/>
  <c r="D209" i="2"/>
  <c r="C209" i="2"/>
  <c r="D208" i="2"/>
  <c r="C208" i="2"/>
  <c r="E208" i="2" s="1"/>
  <c r="D207" i="2"/>
  <c r="C207" i="2"/>
  <c r="E207" i="2" s="1"/>
  <c r="D206" i="2"/>
  <c r="C206" i="2"/>
  <c r="E206" i="2" s="1"/>
  <c r="D205" i="2"/>
  <c r="C205" i="2"/>
  <c r="E205" i="2" s="1"/>
  <c r="D204" i="2"/>
  <c r="C204" i="2"/>
  <c r="E204" i="2" s="1"/>
  <c r="D203" i="2"/>
  <c r="C203" i="2"/>
  <c r="E203" i="2" s="1"/>
  <c r="D202" i="2"/>
  <c r="C202" i="2"/>
  <c r="D201" i="2"/>
  <c r="E201" i="2" s="1"/>
  <c r="C201" i="2"/>
  <c r="D200" i="2"/>
  <c r="C200" i="2"/>
  <c r="D199" i="2"/>
  <c r="C199" i="2"/>
  <c r="D198" i="2"/>
  <c r="C198" i="2"/>
  <c r="E198" i="2" s="1"/>
  <c r="D197" i="2"/>
  <c r="C197" i="2"/>
  <c r="E197" i="2" s="1"/>
  <c r="D196" i="2"/>
  <c r="C196" i="2"/>
  <c r="D195" i="2"/>
  <c r="C195" i="2"/>
  <c r="D194" i="2"/>
  <c r="C194" i="2"/>
  <c r="E194" i="2" s="1"/>
  <c r="D193" i="2"/>
  <c r="C193" i="2"/>
  <c r="D192" i="2"/>
  <c r="C192" i="2"/>
  <c r="E192" i="2" s="1"/>
  <c r="D191" i="2"/>
  <c r="C191" i="2"/>
  <c r="E191" i="2" s="1"/>
  <c r="D190" i="2"/>
  <c r="C190" i="2"/>
  <c r="E190" i="2" s="1"/>
  <c r="D189" i="2"/>
  <c r="C189" i="2"/>
  <c r="D188" i="2"/>
  <c r="C188" i="2"/>
  <c r="D187" i="2"/>
  <c r="C187" i="2"/>
  <c r="E187" i="2" s="1"/>
  <c r="D186" i="2"/>
  <c r="C186" i="2"/>
  <c r="E186" i="2" s="1"/>
  <c r="D185" i="2"/>
  <c r="C185" i="2"/>
  <c r="E185" i="2" s="1"/>
  <c r="D184" i="2"/>
  <c r="C184" i="2"/>
  <c r="E184" i="2" s="1"/>
  <c r="D183" i="2"/>
  <c r="C183" i="2"/>
  <c r="E183" i="2" s="1"/>
  <c r="D182" i="2"/>
  <c r="C182" i="2"/>
  <c r="E182" i="2" s="1"/>
  <c r="D181" i="2"/>
  <c r="C181" i="2"/>
  <c r="E181" i="2" s="1"/>
  <c r="D180" i="2"/>
  <c r="C180" i="2"/>
  <c r="E180" i="2" s="1"/>
  <c r="D179" i="2"/>
  <c r="C179" i="2"/>
  <c r="D178" i="2"/>
  <c r="C178" i="2"/>
  <c r="E178" i="2" s="1"/>
  <c r="D177" i="2"/>
  <c r="C177" i="2"/>
  <c r="E177" i="2" s="1"/>
  <c r="D176" i="2"/>
  <c r="C176" i="2"/>
  <c r="D175" i="2"/>
  <c r="C175" i="2"/>
  <c r="D174" i="2"/>
  <c r="C174" i="2"/>
  <c r="D173" i="2"/>
  <c r="C173" i="2"/>
  <c r="E173" i="2" s="1"/>
  <c r="D172" i="2"/>
  <c r="C172" i="2"/>
  <c r="E172" i="2" s="1"/>
  <c r="D171" i="2"/>
  <c r="C171" i="2"/>
  <c r="E171" i="2" s="1"/>
  <c r="D170" i="2"/>
  <c r="C170" i="2"/>
  <c r="D169" i="2"/>
  <c r="C169" i="2"/>
  <c r="D168" i="2"/>
  <c r="C168" i="2"/>
  <c r="E168" i="2" s="1"/>
  <c r="D167" i="2"/>
  <c r="E167" i="2" s="1"/>
  <c r="C167" i="2"/>
  <c r="D166" i="2"/>
  <c r="C166" i="2"/>
  <c r="D165" i="2"/>
  <c r="C165" i="2"/>
  <c r="E165" i="2" s="1"/>
  <c r="D164" i="2"/>
  <c r="C164" i="2"/>
  <c r="E164" i="2" s="1"/>
  <c r="D163" i="2"/>
  <c r="C163" i="2"/>
  <c r="E163" i="2" s="1"/>
  <c r="D162" i="2"/>
  <c r="C162" i="2"/>
  <c r="D161" i="2"/>
  <c r="C161" i="2"/>
  <c r="D160" i="2"/>
  <c r="C160" i="2"/>
  <c r="E160" i="2" s="1"/>
  <c r="D159" i="2"/>
  <c r="C159" i="2"/>
  <c r="D158" i="2"/>
  <c r="C158" i="2"/>
  <c r="E158" i="2" s="1"/>
  <c r="D157" i="2"/>
  <c r="C157" i="2"/>
  <c r="D156" i="2"/>
  <c r="C156" i="2"/>
  <c r="D155" i="2"/>
  <c r="C155" i="2"/>
  <c r="E155" i="2" s="1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E145" i="2" s="1"/>
  <c r="D144" i="2"/>
  <c r="C144" i="2"/>
  <c r="E144" i="2" s="1"/>
  <c r="D143" i="2"/>
  <c r="C143" i="2"/>
  <c r="E143" i="2" s="1"/>
  <c r="D142" i="2"/>
  <c r="C142" i="2"/>
  <c r="D141" i="2"/>
  <c r="C141" i="2"/>
  <c r="E141" i="2" s="1"/>
  <c r="D140" i="2"/>
  <c r="C140" i="2"/>
  <c r="E140" i="2" s="1"/>
  <c r="D139" i="2"/>
  <c r="C139" i="2"/>
  <c r="D138" i="2"/>
  <c r="C138" i="2"/>
  <c r="E138" i="2" s="1"/>
  <c r="D137" i="2"/>
  <c r="C137" i="2"/>
  <c r="D136" i="2"/>
  <c r="C136" i="2"/>
  <c r="D135" i="2"/>
  <c r="C135" i="2"/>
  <c r="D134" i="2"/>
  <c r="C134" i="2"/>
  <c r="E134" i="2" s="1"/>
  <c r="D133" i="2"/>
  <c r="C133" i="2"/>
  <c r="E133" i="2" s="1"/>
  <c r="D132" i="2"/>
  <c r="C132" i="2"/>
  <c r="E132" i="2" s="1"/>
  <c r="D131" i="2"/>
  <c r="C131" i="2"/>
  <c r="E131" i="2" s="1"/>
  <c r="D130" i="2"/>
  <c r="C130" i="2"/>
  <c r="E130" i="2" s="1"/>
  <c r="D129" i="2"/>
  <c r="C129" i="2"/>
  <c r="D128" i="2"/>
  <c r="C128" i="2"/>
  <c r="D127" i="2"/>
  <c r="C127" i="2"/>
  <c r="E127" i="2" s="1"/>
  <c r="D126" i="2"/>
  <c r="C126" i="2"/>
  <c r="E126" i="2" s="1"/>
  <c r="D125" i="2"/>
  <c r="C125" i="2"/>
  <c r="E125" i="2" s="1"/>
  <c r="D124" i="2"/>
  <c r="C124" i="2"/>
  <c r="E124" i="2" s="1"/>
  <c r="D123" i="2"/>
  <c r="C123" i="2"/>
  <c r="E123" i="2" s="1"/>
  <c r="D122" i="2"/>
  <c r="C122" i="2"/>
  <c r="E122" i="2" s="1"/>
  <c r="D121" i="2"/>
  <c r="C121" i="2"/>
  <c r="E121" i="2" s="1"/>
  <c r="D120" i="2"/>
  <c r="C120" i="2"/>
  <c r="E120" i="2" s="1"/>
  <c r="D119" i="2"/>
  <c r="C119" i="2"/>
  <c r="D118" i="2"/>
  <c r="C118" i="2"/>
  <c r="E118" i="2" s="1"/>
  <c r="D117" i="2"/>
  <c r="C117" i="2"/>
  <c r="E117" i="2" s="1"/>
  <c r="D116" i="2"/>
  <c r="C116" i="2"/>
  <c r="E116" i="2" s="1"/>
  <c r="D115" i="2"/>
  <c r="C115" i="2"/>
  <c r="D114" i="2"/>
  <c r="C114" i="2"/>
  <c r="D113" i="2"/>
  <c r="C113" i="2"/>
  <c r="D112" i="2"/>
  <c r="C112" i="2"/>
  <c r="E112" i="2" s="1"/>
  <c r="D111" i="2"/>
  <c r="C111" i="2"/>
  <c r="D110" i="2"/>
  <c r="C110" i="2"/>
  <c r="D109" i="2"/>
  <c r="C109" i="2"/>
  <c r="D108" i="2"/>
  <c r="C108" i="2"/>
  <c r="E108" i="2" s="1"/>
  <c r="D107" i="2"/>
  <c r="C107" i="2"/>
  <c r="E107" i="2" s="1"/>
  <c r="D106" i="2"/>
  <c r="C106" i="2"/>
  <c r="E106" i="2" s="1"/>
  <c r="D105" i="2"/>
  <c r="C105" i="2"/>
  <c r="E105" i="2" s="1"/>
  <c r="D104" i="2"/>
  <c r="C104" i="2"/>
  <c r="E104" i="2" s="1"/>
  <c r="D103" i="2"/>
  <c r="C103" i="2"/>
  <c r="E103" i="2" s="1"/>
  <c r="D102" i="2"/>
  <c r="C102" i="2"/>
  <c r="D101" i="2"/>
  <c r="C101" i="2"/>
  <c r="E101" i="2" s="1"/>
  <c r="D100" i="2"/>
  <c r="C100" i="2"/>
  <c r="E100" i="2" s="1"/>
  <c r="D99" i="2"/>
  <c r="C99" i="2"/>
  <c r="D98" i="2"/>
  <c r="C98" i="2"/>
  <c r="D97" i="2"/>
  <c r="C97" i="2"/>
  <c r="E97" i="2" s="1"/>
  <c r="D96" i="2"/>
  <c r="C96" i="2"/>
  <c r="D95" i="2"/>
  <c r="C95" i="2"/>
  <c r="E95" i="2" s="1"/>
  <c r="D94" i="2"/>
  <c r="C94" i="2"/>
  <c r="D93" i="2"/>
  <c r="C93" i="2"/>
  <c r="D92" i="2"/>
  <c r="C92" i="2"/>
  <c r="E92" i="2" s="1"/>
  <c r="D91" i="2"/>
  <c r="C91" i="2"/>
  <c r="E91" i="2" s="1"/>
  <c r="D90" i="2"/>
  <c r="C90" i="2"/>
  <c r="E90" i="2" s="1"/>
  <c r="D89" i="2"/>
  <c r="C89" i="2"/>
  <c r="D88" i="2"/>
  <c r="C88" i="2"/>
  <c r="D87" i="2"/>
  <c r="C87" i="2"/>
  <c r="E87" i="2" s="1"/>
  <c r="D86" i="2"/>
  <c r="C86" i="2"/>
  <c r="E86" i="2" s="1"/>
  <c r="D85" i="2"/>
  <c r="C85" i="2"/>
  <c r="E85" i="2" s="1"/>
  <c r="D84" i="2"/>
  <c r="C84" i="2"/>
  <c r="E84" i="2" s="1"/>
  <c r="D83" i="2"/>
  <c r="C83" i="2"/>
  <c r="E83" i="2" s="1"/>
  <c r="D82" i="2"/>
  <c r="C82" i="2"/>
  <c r="E82" i="2" s="1"/>
  <c r="D81" i="2"/>
  <c r="C81" i="2"/>
  <c r="E81" i="2" s="1"/>
  <c r="D80" i="2"/>
  <c r="C80" i="2"/>
  <c r="E80" i="2" s="1"/>
  <c r="D79" i="2"/>
  <c r="C79" i="2"/>
  <c r="D78" i="2"/>
  <c r="C78" i="2"/>
  <c r="E78" i="2" s="1"/>
  <c r="D77" i="2"/>
  <c r="C77" i="2"/>
  <c r="E77" i="2" s="1"/>
  <c r="D76" i="2"/>
  <c r="C76" i="2"/>
  <c r="E76" i="2" s="1"/>
  <c r="D75" i="2"/>
  <c r="C75" i="2"/>
  <c r="E75" i="2" s="1"/>
  <c r="D74" i="2"/>
  <c r="C74" i="2"/>
  <c r="E74" i="2" s="1"/>
  <c r="D73" i="2"/>
  <c r="C73" i="2"/>
  <c r="E73" i="2" s="1"/>
  <c r="D72" i="2"/>
  <c r="C72" i="2"/>
  <c r="D71" i="2"/>
  <c r="C71" i="2"/>
  <c r="E71" i="2" s="1"/>
  <c r="D70" i="2"/>
  <c r="C70" i="2"/>
  <c r="D69" i="2"/>
  <c r="C69" i="2"/>
  <c r="D68" i="2"/>
  <c r="C68" i="2"/>
  <c r="D67" i="2"/>
  <c r="C67" i="2"/>
  <c r="E67" i="2" s="1"/>
  <c r="D66" i="2"/>
  <c r="C66" i="2"/>
  <c r="E66" i="2" s="1"/>
  <c r="D65" i="2"/>
  <c r="C65" i="2"/>
  <c r="E65" i="2" s="1"/>
  <c r="D64" i="2"/>
  <c r="C64" i="2"/>
  <c r="E64" i="2" s="1"/>
  <c r="D63" i="2"/>
  <c r="C63" i="2"/>
  <c r="E63" i="2" s="1"/>
  <c r="D62" i="2"/>
  <c r="C62" i="2"/>
  <c r="E62" i="2" s="1"/>
  <c r="D61" i="2"/>
  <c r="C61" i="2"/>
  <c r="E61" i="2" s="1"/>
  <c r="D60" i="2"/>
  <c r="C60" i="2"/>
  <c r="D59" i="2"/>
  <c r="C59" i="2"/>
  <c r="D58" i="2"/>
  <c r="C58" i="2"/>
  <c r="D57" i="2"/>
  <c r="C57" i="2"/>
  <c r="E57" i="2" s="1"/>
  <c r="D56" i="2"/>
  <c r="C56" i="2"/>
  <c r="E56" i="2" s="1"/>
  <c r="D55" i="2"/>
  <c r="C55" i="2"/>
  <c r="E55" i="2" s="1"/>
  <c r="D54" i="2"/>
  <c r="C54" i="2"/>
  <c r="E54" i="2" s="1"/>
  <c r="D53" i="2"/>
  <c r="C53" i="2"/>
  <c r="E53" i="2" s="1"/>
  <c r="D52" i="2"/>
  <c r="C52" i="2"/>
  <c r="E52" i="2" s="1"/>
  <c r="D51" i="2"/>
  <c r="E51" i="2" s="1"/>
  <c r="C51" i="2"/>
  <c r="D50" i="2"/>
  <c r="C50" i="2"/>
  <c r="D49" i="2"/>
  <c r="C49" i="2"/>
  <c r="D48" i="2"/>
  <c r="C48" i="2"/>
  <c r="E48" i="2" s="1"/>
  <c r="D47" i="2"/>
  <c r="C47" i="2"/>
  <c r="E47" i="2" s="1"/>
  <c r="D46" i="2"/>
  <c r="C46" i="2"/>
  <c r="E46" i="2" s="1"/>
  <c r="D45" i="2"/>
  <c r="C45" i="2"/>
  <c r="E45" i="2" s="1"/>
  <c r="D44" i="2"/>
  <c r="C44" i="2"/>
  <c r="E44" i="2" s="1"/>
  <c r="D43" i="2"/>
  <c r="C43" i="2"/>
  <c r="E43" i="2" s="1"/>
  <c r="D42" i="2"/>
  <c r="C42" i="2"/>
  <c r="E42" i="2" s="1"/>
  <c r="D41" i="2"/>
  <c r="C41" i="2"/>
  <c r="E41" i="2" s="1"/>
  <c r="D40" i="2"/>
  <c r="C40" i="2"/>
  <c r="E40" i="2" s="1"/>
  <c r="D39" i="2"/>
  <c r="C39" i="2"/>
  <c r="D38" i="2"/>
  <c r="C38" i="2"/>
  <c r="D37" i="2"/>
  <c r="C37" i="2"/>
  <c r="E37" i="2" s="1"/>
  <c r="D36" i="2"/>
  <c r="C36" i="2"/>
  <c r="E36" i="2" s="1"/>
  <c r="D35" i="2"/>
  <c r="C35" i="2"/>
  <c r="E35" i="2" s="1"/>
  <c r="D34" i="2"/>
  <c r="C34" i="2"/>
  <c r="E34" i="2" s="1"/>
  <c r="D33" i="2"/>
  <c r="C33" i="2"/>
  <c r="E33" i="2" s="1"/>
  <c r="D32" i="2"/>
  <c r="C32" i="2"/>
  <c r="E32" i="2" s="1"/>
  <c r="D31" i="2"/>
  <c r="C31" i="2"/>
  <c r="E31" i="2" s="1"/>
  <c r="D30" i="2"/>
  <c r="C30" i="2"/>
  <c r="E30" i="2" s="1"/>
  <c r="D29" i="2"/>
  <c r="C29" i="2"/>
  <c r="D28" i="2"/>
  <c r="C28" i="2"/>
  <c r="D27" i="2"/>
  <c r="C27" i="2"/>
  <c r="E27" i="2" s="1"/>
  <c r="D26" i="2"/>
  <c r="C26" i="2"/>
  <c r="E26" i="2" s="1"/>
  <c r="D25" i="2"/>
  <c r="C25" i="2"/>
  <c r="E25" i="2" s="1"/>
  <c r="D24" i="2"/>
  <c r="C24" i="2"/>
  <c r="E24" i="2" s="1"/>
  <c r="D23" i="2"/>
  <c r="C23" i="2"/>
  <c r="E23" i="2" s="1"/>
  <c r="D22" i="2"/>
  <c r="C22" i="2"/>
  <c r="D21" i="2"/>
  <c r="C21" i="2"/>
  <c r="E21" i="2" s="1"/>
  <c r="D20" i="2"/>
  <c r="C20" i="2"/>
  <c r="E20" i="2" s="1"/>
  <c r="D19" i="2"/>
  <c r="C19" i="2"/>
  <c r="D18" i="2"/>
  <c r="C18" i="2"/>
  <c r="E17" i="2"/>
  <c r="D17" i="2"/>
  <c r="C17" i="2"/>
  <c r="D16" i="2"/>
  <c r="C16" i="2"/>
  <c r="E16" i="2" s="1"/>
  <c r="D15" i="2"/>
  <c r="C15" i="2"/>
  <c r="E15" i="2" s="1"/>
  <c r="D14" i="2"/>
  <c r="C14" i="2"/>
  <c r="E14" i="2" s="1"/>
  <c r="D13" i="2"/>
  <c r="C13" i="2"/>
  <c r="E13" i="2" s="1"/>
  <c r="D12" i="2"/>
  <c r="C12" i="2"/>
  <c r="E12" i="2" s="1"/>
  <c r="D11" i="2"/>
  <c r="C11" i="2"/>
  <c r="E11" i="2" s="1"/>
  <c r="D10" i="2"/>
  <c r="C10" i="2"/>
  <c r="D9" i="2"/>
  <c r="C9" i="2"/>
  <c r="D8" i="2"/>
  <c r="C8" i="2"/>
  <c r="D7" i="2"/>
  <c r="C7" i="2"/>
  <c r="E7" i="2" s="1"/>
  <c r="D6" i="2"/>
  <c r="C6" i="2"/>
  <c r="E6" i="2" s="1"/>
  <c r="D5" i="2"/>
  <c r="C5" i="2"/>
  <c r="E5" i="2" s="1"/>
  <c r="D4" i="2"/>
  <c r="C4" i="2"/>
  <c r="E4" i="2" s="1"/>
  <c r="E22" i="2" l="1"/>
  <c r="E358" i="2"/>
  <c r="E39" i="2"/>
  <c r="E311" i="2"/>
  <c r="E228" i="2"/>
  <c r="E109" i="2"/>
  <c r="E18" i="2"/>
  <c r="E38" i="2"/>
  <c r="E202" i="2"/>
  <c r="E10" i="2"/>
  <c r="E29" i="2"/>
  <c r="E72" i="2"/>
  <c r="E189" i="2"/>
  <c r="E50" i="2"/>
  <c r="E59" i="2"/>
  <c r="E98" i="2"/>
  <c r="E102" i="2"/>
  <c r="E146" i="2"/>
  <c r="E151" i="2"/>
  <c r="E156" i="2"/>
  <c r="E161" i="2"/>
  <c r="E166" i="2"/>
  <c r="E195" i="2"/>
  <c r="E200" i="2"/>
  <c r="E209" i="2"/>
  <c r="E243" i="2"/>
  <c r="E263" i="2"/>
  <c r="E302" i="2"/>
  <c r="E346" i="2"/>
  <c r="E359" i="2"/>
  <c r="E149" i="2"/>
  <c r="E8" i="2"/>
  <c r="E211" i="2"/>
  <c r="E289" i="2"/>
  <c r="E9" i="2"/>
  <c r="E111" i="2"/>
  <c r="E237" i="2"/>
  <c r="E60" i="2"/>
  <c r="E70" i="2"/>
  <c r="E79" i="2"/>
  <c r="E89" i="2"/>
  <c r="E94" i="2"/>
  <c r="E137" i="2"/>
  <c r="E142" i="2"/>
  <c r="E147" i="2"/>
  <c r="E152" i="2"/>
  <c r="E157" i="2"/>
  <c r="E162" i="2"/>
  <c r="E230" i="2"/>
  <c r="E244" i="2"/>
  <c r="E264" i="2"/>
  <c r="E288" i="2"/>
  <c r="E69" i="2"/>
  <c r="E129" i="2"/>
  <c r="E229" i="2"/>
  <c r="E199" i="2"/>
  <c r="E238" i="2"/>
  <c r="E326" i="2"/>
  <c r="E58" i="2"/>
  <c r="E96" i="2"/>
  <c r="E113" i="2"/>
  <c r="E135" i="2"/>
  <c r="E139" i="2"/>
  <c r="E148" i="2"/>
  <c r="E170" i="2"/>
  <c r="E174" i="2"/>
  <c r="E196" i="2"/>
  <c r="E213" i="2"/>
  <c r="E239" i="2"/>
  <c r="E278" i="2"/>
  <c r="E348" i="2"/>
  <c r="E338" i="2"/>
  <c r="E169" i="2"/>
  <c r="E248" i="2"/>
  <c r="E309" i="2"/>
  <c r="E366" i="2"/>
  <c r="E159" i="2"/>
  <c r="E259" i="2"/>
  <c r="E298" i="2"/>
  <c r="E368" i="2"/>
  <c r="E19" i="2"/>
  <c r="E99" i="2"/>
  <c r="E356" i="2"/>
  <c r="E49" i="2"/>
  <c r="E269" i="2"/>
  <c r="E308" i="2"/>
  <c r="E88" i="2"/>
  <c r="E110" i="2"/>
  <c r="E114" i="2"/>
  <c r="E136" i="2"/>
  <c r="E153" i="2"/>
  <c r="E175" i="2"/>
  <c r="E179" i="2"/>
  <c r="E188" i="2"/>
  <c r="E210" i="2"/>
  <c r="E214" i="2"/>
  <c r="E236" i="2"/>
  <c r="E253" i="2"/>
  <c r="E275" i="2"/>
  <c r="E279" i="2"/>
  <c r="E310" i="2"/>
  <c r="E314" i="2"/>
  <c r="E318" i="2"/>
  <c r="E323" i="2"/>
  <c r="E336" i="2"/>
  <c r="E345" i="2"/>
  <c r="E362" i="2"/>
  <c r="E268" i="2"/>
  <c r="E299" i="2"/>
  <c r="E28" i="2"/>
  <c r="E68" i="2"/>
  <c r="E93" i="2"/>
  <c r="E115" i="2"/>
  <c r="E119" i="2"/>
  <c r="E128" i="2"/>
  <c r="E150" i="2"/>
  <c r="E154" i="2"/>
  <c r="E176" i="2"/>
  <c r="E193" i="2"/>
  <c r="E215" i="2"/>
  <c r="E219" i="2"/>
  <c r="E250" i="2"/>
  <c r="E254" i="2"/>
  <c r="E258" i="2"/>
  <c r="E276" i="2"/>
  <c r="E293" i="2"/>
  <c r="E315" i="2"/>
  <c r="E319" i="2"/>
  <c r="E324" i="2"/>
  <c r="E328" i="2"/>
  <c r="E350" i="2"/>
  <c r="E363" i="2"/>
</calcChain>
</file>

<file path=xl/sharedStrings.xml><?xml version="1.0" encoding="utf-8"?>
<sst xmlns="http://schemas.openxmlformats.org/spreadsheetml/2006/main" count="2124" uniqueCount="786">
  <si>
    <t>Orthogroup</t>
  </si>
  <si>
    <t>Osativa_indica_WRKY</t>
  </si>
  <si>
    <t>Sbicolor_WRKY</t>
  </si>
  <si>
    <t>Zmays_WRKY</t>
  </si>
  <si>
    <t>OG0000000</t>
  </si>
  <si>
    <t>BGIOSGA001069-PA, BGIOSGA009781-PA, BGIOSGA020371-PA, BGIOSGA024948-PA</t>
  </si>
  <si>
    <t>Sobic.002G008600.2.p, Sobic.002G008600.3.p, Sobic.003G248400.1.p, Sobic.009G234100.1.p</t>
  </si>
  <si>
    <t>GRMZM2G018721_P01, GRMZM2G151763_P01, GRMZM2G453571_P01</t>
  </si>
  <si>
    <t>OG0000001</t>
  </si>
  <si>
    <t>BGIOSGA034615-PA, BGIOSGA036759-PA</t>
  </si>
  <si>
    <t>Sobic.005G013600.2.p, Sobic.005G013600.3.p, Sobic.005G013600.4.p, Sobic.005G013600.5.p, Sobic.005G013600.6.p, Sobic.008G029400.1.p, Sobic.008G029400.2.p</t>
  </si>
  <si>
    <t>GRMZM2G063216_P01</t>
  </si>
  <si>
    <t>OG0000002</t>
  </si>
  <si>
    <t>BGIOSGA001176-PA, BGIOSGA001178-PA, BGIOSGA020451-PA</t>
  </si>
  <si>
    <t>Sobic.003G226600.1.p, Sobic.009G247700.1.p</t>
  </si>
  <si>
    <t>GRMZM2G105140_P01, GRMZM2G149683_P01, GRMZM2G414315_P01</t>
  </si>
  <si>
    <t>OG0000003</t>
  </si>
  <si>
    <t>BGIOSGA017063-PA, BGIOSGA027404-PA</t>
  </si>
  <si>
    <t>Sobic.006G206000.1.p, Sobic.007G085300.1.p</t>
  </si>
  <si>
    <t>GRMZM2G071907_P01, GRMZM2G071907_P03, GRMZM2G090594_P01, GRMZM2G148561_P01</t>
  </si>
  <si>
    <t>OG0000004</t>
  </si>
  <si>
    <t>BGIOSGA017556-PA, BGIOSGA034612-PA, BGIOSGA036756-PA</t>
  </si>
  <si>
    <t>Sobic.005G014000.1.p, Sobic.005G014200.1.p, Sobic.008G029000.2.p</t>
  </si>
  <si>
    <t>GRMZM2G169564_P01, GRMZM2G400559_P01</t>
  </si>
  <si>
    <t>OG0000005</t>
  </si>
  <si>
    <t>Sobic.007G217700.1.p, Sobic.007G217700.2.p, Sobic.007G217700.3.p, Sobic.007G217700.4.p, Sobic.007G217700.5.p, Sobic.007G217700.6.p, Sobic.007G217700.7.p</t>
  </si>
  <si>
    <t>GRMZM2G027972_P01</t>
  </si>
  <si>
    <t>OG0000006</t>
  </si>
  <si>
    <t>BGIOSGA007670-PA, BGIOSGA020778-PA</t>
  </si>
  <si>
    <t>Sobic.004G065900.1.p, Sobic.010G209100.1.p, Sobic.010G209200.1.p</t>
  </si>
  <si>
    <t>GRMZM2G111711_P01, GRMZM2G120320_P01</t>
  </si>
  <si>
    <t>OG0000007</t>
  </si>
  <si>
    <t>BGIOSGA018676-PA</t>
  </si>
  <si>
    <t>Sobic.009G068900.1.p</t>
  </si>
  <si>
    <t>GRMZM2G057116_P01, GRMZM2G163054_P01, GRMZM2G163054_P02, GRMZM2G163054_P03, GRMZM2G163054_P04</t>
  </si>
  <si>
    <t>OG0000008</t>
  </si>
  <si>
    <t>BGIOSGA019646-PA</t>
  </si>
  <si>
    <t>Sobic.009G100500.1.p, Sobic.009G100500.2.p</t>
  </si>
  <si>
    <t>GRMZM2G012724_P01, GRMZM2G012724_P02, GRMZM2G012724_P04, GRMZM2G449681_P01</t>
  </si>
  <si>
    <t>OG0000009</t>
  </si>
  <si>
    <t>BGIOSGA034613-PA, BGIOSGA036757-PA</t>
  </si>
  <si>
    <t>Sobic.005G013800.1.p, Sobic.005G013800.2.p, Sobic.008G028800.1.p, Sobic.008G029200.1.p</t>
  </si>
  <si>
    <t>GRMZM2G441031_P01</t>
  </si>
  <si>
    <t>OG0000010</t>
  </si>
  <si>
    <t>BGIOSGA003134-PA</t>
  </si>
  <si>
    <t>Sobic.003G000600.1.p, Sobic.003G000600.2.p</t>
  </si>
  <si>
    <t>GRMZM5G871347_P01, GRMZM5G871347_P02, GRMZM5G871347_P03</t>
  </si>
  <si>
    <t>OG0000011</t>
  </si>
  <si>
    <t>BGIOSGA004705-PA, BGIOSGA017860-PA, BGIOSGA030346-PA</t>
  </si>
  <si>
    <t>Sobic.003G337900.1.p</t>
  </si>
  <si>
    <t>GRMZM2G059562_P01, GRMZM2G432583_P01</t>
  </si>
  <si>
    <t>OG0000012</t>
  </si>
  <si>
    <t>BGIOSGA004722-PA, BGIOSGA017876-PA</t>
  </si>
  <si>
    <t>Sobic.003G341100.1.p, Sobic.009G171600.1.p</t>
  </si>
  <si>
    <t>GRMZM2G148087_P01, GRMZM2G169966_P01</t>
  </si>
  <si>
    <t>OG0000013</t>
  </si>
  <si>
    <t>BGIOSGA010657-PA, BGIOSGA023966-PA</t>
  </si>
  <si>
    <t>Sobic.001G332500.1.p</t>
  </si>
  <si>
    <t>GRMZM2G171428_P01, GRMZM2G171428_P02, GRMZM2G425430_P01</t>
  </si>
  <si>
    <t>OG0000014</t>
  </si>
  <si>
    <t>BGIOSGA014175-PA, BGIOSGA027488-PA, BGIOSGA027489-PA, BGIOSGA027491-PA, BGIOSGA027492-PA</t>
  </si>
  <si>
    <t>Sobic.007G072133.1.p</t>
  </si>
  <si>
    <t>OG0000015</t>
  </si>
  <si>
    <t>BGIOSGA014906-PA</t>
  </si>
  <si>
    <t>Sobic.006G115700.1.p, Sobic.006G115700.2.p</t>
  </si>
  <si>
    <t>GRMZM2G031963_P01, GRMZM5G816457_P01, GRMZM5G816457_P02</t>
  </si>
  <si>
    <t>OG0000016</t>
  </si>
  <si>
    <t>BGIOSGA026734-PA, BGIOSGA029574-PA</t>
  </si>
  <si>
    <t>Sobic.002G242500.1.p, Sobic.002G242500.2.p</t>
  </si>
  <si>
    <t>GRMZM2G151407_P01, GRMZM2G151407_P02</t>
  </si>
  <si>
    <t>OG0000017</t>
  </si>
  <si>
    <t>BGIOSGA030535-PA</t>
  </si>
  <si>
    <t>Sobic.002G174300.1.p</t>
  </si>
  <si>
    <t>GRMZM2G025895_P01, GRMZM2G061408_P01, GRMZM2G163418_P01, GRMZM2G163418_P02</t>
  </si>
  <si>
    <t>OG0000018</t>
  </si>
  <si>
    <t>BGIOSGA033569-PA, BGIOSGA035675-PA, BGIOSGA035677-PA</t>
  </si>
  <si>
    <t>Sobic.008G174100.1.p, Sobic.008G174100.2.p, Sobic.008G174100.3.p</t>
  </si>
  <si>
    <t>OG0000019</t>
  </si>
  <si>
    <t>BGIOSGA034616-PA, BGIOSGA036760-PA</t>
  </si>
  <si>
    <t>Sobic.005G013400.1.p, Sobic.005G013500.1.p</t>
  </si>
  <si>
    <t>GRMZM2G099593_P01, GRMZM2G461648_P01</t>
  </si>
  <si>
    <t>OG0000020</t>
  </si>
  <si>
    <t>BGIOSGA036823-PA, BGIOSGA036825-PA</t>
  </si>
  <si>
    <t>Sobic.007G077466.1.p</t>
  </si>
  <si>
    <t>GRMZM2G020254_P01, GRMZM2G020254_P02, GRMZM2G020254_P03</t>
  </si>
  <si>
    <t>OG0000021</t>
  </si>
  <si>
    <t>BGIOSGA000826-PA</t>
  </si>
  <si>
    <t>Sobic.003G296300.1.p</t>
  </si>
  <si>
    <t>GRMZM2G141299_P01, GRMZM2G141299_P02, GRMZM2G141299_P03</t>
  </si>
  <si>
    <t>OG0000022</t>
  </si>
  <si>
    <t>BGIOSGA008866-PA, BGIOSGA017037-PA, BGIOSGA033505-PA</t>
  </si>
  <si>
    <t>Sobic.006G201000.1.p</t>
  </si>
  <si>
    <t>GRMZM2G024898_P01</t>
  </si>
  <si>
    <t>OG0000023</t>
  </si>
  <si>
    <t>BGIOSGA013535-PA</t>
  </si>
  <si>
    <t>Sobic.001G095500.1.p</t>
  </si>
  <si>
    <t>GRMZM2G018487_P01, GRMZM2G018487_P02, GRMZM2G147880_P01</t>
  </si>
  <si>
    <t>OG0000024</t>
  </si>
  <si>
    <t>BGIOSGA014617-PA</t>
  </si>
  <si>
    <t>Sobic.006G166300.1.p, Sobic.006G166300.2.p</t>
  </si>
  <si>
    <t>GRMZM2G123387_P01, GRMZM2G123387_P02</t>
  </si>
  <si>
    <t>OG0000025</t>
  </si>
  <si>
    <t>BGIOSGA020376-PA</t>
  </si>
  <si>
    <t>Sobic.009G234900.1.p</t>
  </si>
  <si>
    <t>GRMZM2G366795_P01, GRMZM2G366795_P02, GRMZM2G448605_P01</t>
  </si>
  <si>
    <t>OG0000026</t>
  </si>
  <si>
    <t>BGIOSGA030113-PA, BGIOSGA034611-PA, BGIOSGA036755-PA</t>
  </si>
  <si>
    <t>Sobic.008G028600.1.p</t>
  </si>
  <si>
    <t>GRMZM2G005207_P01</t>
  </si>
  <si>
    <t>OG0000027</t>
  </si>
  <si>
    <t>BGIOSGA000506-PA</t>
  </si>
  <si>
    <t>Sobic.003G353000.1.p, Sobic.003G353000.2.p, Sobic.003G353000.3.p</t>
  </si>
  <si>
    <t>OG0000028</t>
  </si>
  <si>
    <t>BGIOSGA002913-PA</t>
  </si>
  <si>
    <t>Sobic.003G037500.1.p</t>
  </si>
  <si>
    <t>GRMZM2G083350_P01, GRMZM2G176489_P01</t>
  </si>
  <si>
    <t>OG0000029</t>
  </si>
  <si>
    <t>BGIOSGA004027-PA</t>
  </si>
  <si>
    <t>Sobic.003G227300.1.p</t>
  </si>
  <si>
    <t>AC198725.4_FGP009, GRMZM2G145554_P01</t>
  </si>
  <si>
    <t>OG0000030</t>
  </si>
  <si>
    <t>BGIOSGA004701-PA</t>
  </si>
  <si>
    <t>Sobic.003G337500.1.p</t>
  </si>
  <si>
    <t>GRMZM2G029292_P02, GRMZM2G029292_P03</t>
  </si>
  <si>
    <t>OG0000031</t>
  </si>
  <si>
    <t>BGIOSGA004703-PA, BGIOSGA032700-PA</t>
  </si>
  <si>
    <t>Sobic.003G337600.1.p</t>
  </si>
  <si>
    <t>GRMZM2G065290_P01</t>
  </si>
  <si>
    <t>OG0000032</t>
  </si>
  <si>
    <t>BGIOSGA005924-PA</t>
  </si>
  <si>
    <t>Sobic.004G298400.1.p</t>
  </si>
  <si>
    <t>GRMZM2G377217_P01, GRMZM2G377217_P02</t>
  </si>
  <si>
    <t>OG0000033</t>
  </si>
  <si>
    <t>BGIOSGA010118-PA</t>
  </si>
  <si>
    <t>Sobic.001G148000.1.p</t>
  </si>
  <si>
    <t>GRMZM2G149219_P01, GRMZM2G161411_P01</t>
  </si>
  <si>
    <t>OG0000034</t>
  </si>
  <si>
    <t>BGIOSGA012523-PA, BGIOSGA012525-PA</t>
  </si>
  <si>
    <t>Sobic.001G389000.1.p</t>
  </si>
  <si>
    <t>GRMZM2G030272_P01</t>
  </si>
  <si>
    <t>OG0000035</t>
  </si>
  <si>
    <t>BGIOSGA013972-PA</t>
  </si>
  <si>
    <t>Sobic.001G006600.1.p, Sobic.001G006600.2.p</t>
  </si>
  <si>
    <t>GRMZM2G083717_P01</t>
  </si>
  <si>
    <t>OG0000036</t>
  </si>
  <si>
    <t>BGIOSGA021174-PA</t>
  </si>
  <si>
    <t>Sobic.010G148800.1.p</t>
  </si>
  <si>
    <t>GRMZM2G006497_P01, GRMZM2G156529_P01</t>
  </si>
  <si>
    <t>OG0000037</t>
  </si>
  <si>
    <t>BGIOSGA022298-PA</t>
  </si>
  <si>
    <t>Sobic.010G035300.1.p, Sobic.010G035300.2.p</t>
  </si>
  <si>
    <t>AC193630.3_FGP003</t>
  </si>
  <si>
    <t>OG0000038</t>
  </si>
  <si>
    <t>BGIOSGA029757-PA</t>
  </si>
  <si>
    <t>Sobic.002G202800.1.p, Sobic.002G202800.2.p</t>
  </si>
  <si>
    <t>GRMZM2G169149_P01</t>
  </si>
  <si>
    <t>OG0000039</t>
  </si>
  <si>
    <t>BGIOSGA029758-PA</t>
  </si>
  <si>
    <t>Sobic.002G202700.1.p</t>
  </si>
  <si>
    <t>GRMZM2G125653_P01, GRMZM2G125653_P02</t>
  </si>
  <si>
    <t>OG0000040</t>
  </si>
  <si>
    <t>BGIOSGA035289-PA</t>
  </si>
  <si>
    <t>Sobic.005G117400.2.p</t>
  </si>
  <si>
    <t>GRMZM2G054125_P01, GRMZM2G106560_P02</t>
  </si>
  <si>
    <t>OG0000041</t>
  </si>
  <si>
    <t>BGIOSGA035895-PA</t>
  </si>
  <si>
    <t>Sobic.008G153600.1.p</t>
  </si>
  <si>
    <t>GRMZM2G173680_P01, GRMZM2G173680_P02</t>
  </si>
  <si>
    <t>OG0000042</t>
  </si>
  <si>
    <t>BGIOSGA040489-PA</t>
  </si>
  <si>
    <t>Sobic.007G118301.1.p</t>
  </si>
  <si>
    <t>AC205562.3_FGP002, GRMZM2G324999_P01</t>
  </si>
  <si>
    <t>OG0000043</t>
  </si>
  <si>
    <t>Sobic.001G084000.1.p</t>
  </si>
  <si>
    <t>GRMZM2G143204_P01, GRMZM2G143204_P02, GRMZM2G143204_P03</t>
  </si>
  <si>
    <t>OG0000044</t>
  </si>
  <si>
    <t>Sobic.001G282400.1.p, Sobic.001G282400.2.p, Sobic.001G282400.3.p</t>
  </si>
  <si>
    <t>GRMZM2G383594_P01</t>
  </si>
  <si>
    <t>OG0000045</t>
  </si>
  <si>
    <t>Sobic.002G104400.1.p, Sobic.002G104400.2.p, Sobic.002G104400.3.p, Sobic.002G104400.4.p</t>
  </si>
  <si>
    <t>OG0000046</t>
  </si>
  <si>
    <t>BGIOSGA000583-PA</t>
  </si>
  <si>
    <t>Sobic.003G337800.1.p</t>
  </si>
  <si>
    <t>GRMZM2G158328_P01</t>
  </si>
  <si>
    <t>OG0000047</t>
  </si>
  <si>
    <t>BGIOSGA000873-PA</t>
  </si>
  <si>
    <t>Sobic.003G285500.1.p</t>
  </si>
  <si>
    <t>GRMZM2G040298_P01</t>
  </si>
  <si>
    <t>OG0000048</t>
  </si>
  <si>
    <t>BGIOSGA000921-PA</t>
  </si>
  <si>
    <t>Sobic.003G276000.1.p</t>
  </si>
  <si>
    <t>GRMZM2G101405_P01</t>
  </si>
  <si>
    <t>OG0000049</t>
  </si>
  <si>
    <t>BGIOSGA001093-PA</t>
  </si>
  <si>
    <t>Sobic.003G242800.2.p</t>
  </si>
  <si>
    <t>GRMZM2G411766_P01</t>
  </si>
  <si>
    <t>OG0000050</t>
  </si>
  <si>
    <t>BGIOSGA001327-PA</t>
  </si>
  <si>
    <t>Sobic.003G200700.1.p</t>
  </si>
  <si>
    <t>GRMZM2G304573_P01</t>
  </si>
  <si>
    <t>OG0000051</t>
  </si>
  <si>
    <t>BGIOSGA004404-PA</t>
  </si>
  <si>
    <t>Sobic.003G287200.1.p</t>
  </si>
  <si>
    <t>GRMZM2G111354_P01</t>
  </si>
  <si>
    <t>OG0000052</t>
  </si>
  <si>
    <t>BGIOSGA004704-PA</t>
  </si>
  <si>
    <t>Sobic.003G337700.1.p</t>
  </si>
  <si>
    <t>GRMZM2G029282_P01</t>
  </si>
  <si>
    <t>OG0000053</t>
  </si>
  <si>
    <t>BGIOSGA005267-PA</t>
  </si>
  <si>
    <t>Sobic.003G444000.1.p</t>
  </si>
  <si>
    <t>AC165171.2_FGP002</t>
  </si>
  <si>
    <t>OG0000054</t>
  </si>
  <si>
    <t>BGIOSGA007926-PA</t>
  </si>
  <si>
    <t>Sobic.004G117600.1.p</t>
  </si>
  <si>
    <t>GRMZM2G048450_P01</t>
  </si>
  <si>
    <t>OG0000055</t>
  </si>
  <si>
    <t>BGIOSGA008165-PA</t>
  </si>
  <si>
    <t>Sobic.004G138400.2.p</t>
  </si>
  <si>
    <t>GRMZM2G073272_P01</t>
  </si>
  <si>
    <t>OG0000056</t>
  </si>
  <si>
    <t>BGIOSGA013598-PA</t>
  </si>
  <si>
    <t>Sobic.001G083000.1.p</t>
  </si>
  <si>
    <t>GRMZM2G008029_P01</t>
  </si>
  <si>
    <t>OG0000057</t>
  </si>
  <si>
    <t>BGIOSGA013733-PA</t>
  </si>
  <si>
    <t>Sobic.001G055400.1.p</t>
  </si>
  <si>
    <t>GRMZM2G164082_P01</t>
  </si>
  <si>
    <t>OG0000058</t>
  </si>
  <si>
    <t>BGIOSGA017861-PA</t>
  </si>
  <si>
    <t>Sobic.009G174300.1.p</t>
  </si>
  <si>
    <t>GRMZM2G034421_P01</t>
  </si>
  <si>
    <t>OG0000059</t>
  </si>
  <si>
    <t>BGIOSGA018854-PA</t>
  </si>
  <si>
    <t>Sobic.009G034800.1.p, Sobic.009G034800.2.p</t>
  </si>
  <si>
    <t>OG0000060</t>
  </si>
  <si>
    <t>BGIOSGA019620-PA</t>
  </si>
  <si>
    <t>Sobic.009G092100.1.p</t>
  </si>
  <si>
    <t>GRMZM2G127064_P01</t>
  </si>
  <si>
    <t>OG0000061</t>
  </si>
  <si>
    <t>BGIOSGA019621-PA</t>
  </si>
  <si>
    <t>Sobic.008G060300.1.p</t>
  </si>
  <si>
    <t>GRMZM2G004060_P01</t>
  </si>
  <si>
    <t>OG0000062</t>
  </si>
  <si>
    <t>BGIOSGA020266-PA</t>
  </si>
  <si>
    <t>Sobic.009G212800.1.p</t>
  </si>
  <si>
    <t>GRMZM5G863420_P01</t>
  </si>
  <si>
    <t>OG0000063</t>
  </si>
  <si>
    <t>BGIOSGA022355-PA</t>
  </si>
  <si>
    <t>Sobic.010G045700.1.p</t>
  </si>
  <si>
    <t>GRMZM2G003551_P01</t>
  </si>
  <si>
    <t>OG0000064</t>
  </si>
  <si>
    <t>BGIOSGA023706-PA</t>
  </si>
  <si>
    <t>Sobic.002G418500.1.p</t>
  </si>
  <si>
    <t>GRMZM2G381378_P01</t>
  </si>
  <si>
    <t>OG0000065</t>
  </si>
  <si>
    <t>BGIOSGA024007-PA</t>
  </si>
  <si>
    <t>Sobic.002G355000.1.p</t>
  </si>
  <si>
    <t>GRMZM2G398506_P02</t>
  </si>
  <si>
    <t>OG0000066</t>
  </si>
  <si>
    <t>BGIOSGA025645-PA</t>
  </si>
  <si>
    <t>Sobic.002G128400.1.p, Sobic.002G128400.2.p</t>
  </si>
  <si>
    <t>OG0000067</t>
  </si>
  <si>
    <t>BGIOSGA027300-PA</t>
  </si>
  <si>
    <t>Sobic.007G111600.1.p</t>
  </si>
  <si>
    <t>GRMZM2G549512_P01</t>
  </si>
  <si>
    <t>OG0000068</t>
  </si>
  <si>
    <t>BGIOSGA030067-PA</t>
  </si>
  <si>
    <t>GRMZM2G449681_P02, GRMZM2G449681_P03</t>
  </si>
  <si>
    <t>OG0000069</t>
  </si>
  <si>
    <t>Sobic.001G162100.1.p, Sobic.001G162100.2.p</t>
  </si>
  <si>
    <t>GRMZM2G070211_P01</t>
  </si>
  <si>
    <t>OG0000070</t>
  </si>
  <si>
    <t>Sobic.002G168300.1.p, Sobic.002G168300.2.p, Sobic.002G168300.3.p</t>
  </si>
  <si>
    <t>OG0000071</t>
  </si>
  <si>
    <t>Sobic.003G037400.1.p, Sobic.003G037400.2.p</t>
  </si>
  <si>
    <t>GRMZM2G516301_P01</t>
  </si>
  <si>
    <t>OG0000072</t>
  </si>
  <si>
    <t>BGIOSGA002245-PA</t>
  </si>
  <si>
    <t>Sobic.003G040800.1.p</t>
  </si>
  <si>
    <t>OG0000073</t>
  </si>
  <si>
    <t>BGIOSGA003306-PA</t>
  </si>
  <si>
    <t>GRMZM2G092694_P01</t>
  </si>
  <si>
    <t>OG0000074</t>
  </si>
  <si>
    <t>BGIOSGA003851-PA</t>
  </si>
  <si>
    <t>Sobic.003G199400.1.p</t>
  </si>
  <si>
    <t>OG0000075</t>
  </si>
  <si>
    <t>BGIOSGA009118-PA</t>
  </si>
  <si>
    <t>Sobic.004G312200.1.p</t>
  </si>
  <si>
    <t>OG0000076</t>
  </si>
  <si>
    <t>BGIOSGA009380-PA</t>
  </si>
  <si>
    <t>GRMZM2G102583_P02</t>
  </si>
  <si>
    <t>OG0000077</t>
  </si>
  <si>
    <t>BGIOSGA012571-PA</t>
  </si>
  <si>
    <t>Sobic.001G381300.1.p</t>
  </si>
  <si>
    <t>OG0000078</t>
  </si>
  <si>
    <t>BGIOSGA017481-PA</t>
  </si>
  <si>
    <t>Sobic.009G247300.2.p</t>
  </si>
  <si>
    <t>OG0000079</t>
  </si>
  <si>
    <t>BGIOSGA019117-PA, BGIOSGA019119-PA</t>
  </si>
  <si>
    <t>OG0000080</t>
  </si>
  <si>
    <t>Sobic.002G174200.1.p</t>
  </si>
  <si>
    <t>GRMZM2G139815_P01</t>
  </si>
  <si>
    <t>OG0000081</t>
  </si>
  <si>
    <t>Sobic.003G138400.1.p</t>
  </si>
  <si>
    <t>GRMZM2G327349_P01</t>
  </si>
  <si>
    <t>OG0000082</t>
  </si>
  <si>
    <t>Sobic.004G271800.1.p</t>
  </si>
  <si>
    <t>GRMZM5G823157_P01</t>
  </si>
  <si>
    <t>OG0000083</t>
  </si>
  <si>
    <t>Sobic.006G051700.1.p, Sobic.006G051700.2.p</t>
  </si>
  <si>
    <t>OG0000084</t>
  </si>
  <si>
    <t>Sobic.008G107500.1.p</t>
  </si>
  <si>
    <t>GRMZM2G143765_P01</t>
  </si>
  <si>
    <t>OG0000085</t>
  </si>
  <si>
    <t>Sobic.009G206800.1.p</t>
  </si>
  <si>
    <t>GRMZM2G015433_P01</t>
  </si>
  <si>
    <t>OG0000086</t>
  </si>
  <si>
    <t>Sobic.009G238200.1.p</t>
  </si>
  <si>
    <t>GRMZM2G063880_P01</t>
  </si>
  <si>
    <t>OG0000087</t>
  </si>
  <si>
    <t>GRMZM2G052671_P01, GRMZM2G052671_P02</t>
  </si>
  <si>
    <t>OG0000088</t>
  </si>
  <si>
    <t>GRMZM2G401521_P01, GRMZM2G401521_P02</t>
  </si>
  <si>
    <t>OG0000089</t>
  </si>
  <si>
    <t>GRMZM5G812272_P01, GRMZM5G812272_P02</t>
  </si>
  <si>
    <t>OG0000090</t>
  </si>
  <si>
    <t>GRMZM5G880069_P02, GRMZM5G880069_P03</t>
  </si>
  <si>
    <t>Supplementary Table S1: Orthogroup results</t>
  </si>
  <si>
    <t>Species</t>
  </si>
  <si>
    <t>Gene ID (isoform removed)</t>
  </si>
  <si>
    <t>Sequence ID (Orthogroups.tsv, isoform-retaining run)</t>
  </si>
  <si>
    <t>Sequence ID copy</t>
  </si>
  <si>
    <t>BGIOSGA001069-PA</t>
  </si>
  <si>
    <t>BGIOSGA009781-PA</t>
  </si>
  <si>
    <t>BGIOSGA020371-PA</t>
  </si>
  <si>
    <t>BGIOSGA024948-PA</t>
  </si>
  <si>
    <t>Sobic.002G008600.2.p</t>
  </si>
  <si>
    <t>Sobic.002G008600.3.p</t>
  </si>
  <si>
    <t>Sobic.003G248400.1.p</t>
  </si>
  <si>
    <t>Sobic.009G234100.1.p</t>
  </si>
  <si>
    <t>GRMZM2G018721_P01</t>
  </si>
  <si>
    <t>GRMZM2G151763_P01</t>
  </si>
  <si>
    <t>GRMZM2G453571_P01</t>
  </si>
  <si>
    <t>BGIOSGA034615-PA</t>
  </si>
  <si>
    <t>BGIOSGA036759-PA</t>
  </si>
  <si>
    <t>Sobic.005G013600.2.p</t>
  </si>
  <si>
    <t>Sobic.005G013600.3.p</t>
  </si>
  <si>
    <t>Sobic.005G013600.4.p</t>
  </si>
  <si>
    <t>Sobic.005G013600.5.p</t>
  </si>
  <si>
    <t>Sobic.005G013600.6.p</t>
  </si>
  <si>
    <t>Sobic.008G029400.1.p</t>
  </si>
  <si>
    <t>Sobic.008G029400.2.p</t>
  </si>
  <si>
    <t>BGIOSGA001176-PA</t>
  </si>
  <si>
    <t>BGIOSGA001178-PA</t>
  </si>
  <si>
    <t>BGIOSGA020451-PA</t>
  </si>
  <si>
    <t>Sobic.003G226600.1.p</t>
  </si>
  <si>
    <t>Sobic.009G247700.1.p</t>
  </si>
  <si>
    <t>GRMZM2G105140_P01</t>
  </si>
  <si>
    <t>GRMZM2G149683_P01</t>
  </si>
  <si>
    <t>GRMZM2G414315_P01</t>
  </si>
  <si>
    <t>BGIOSGA017063-PA</t>
  </si>
  <si>
    <t>BGIOSGA027404-PA</t>
  </si>
  <si>
    <t>Sobic.006G206000.1.p</t>
  </si>
  <si>
    <t>Sobic.007G085300.1.p</t>
  </si>
  <si>
    <t>GRMZM2G071907_P01</t>
  </si>
  <si>
    <t>GRMZM2G071907_P03</t>
  </si>
  <si>
    <t>GRMZM2G090594_P01</t>
  </si>
  <si>
    <t>GRMZM2G148561_P01</t>
  </si>
  <si>
    <t>BGIOSGA017556-PA</t>
  </si>
  <si>
    <t>BGIOSGA034612-PA</t>
  </si>
  <si>
    <t>BGIOSGA036756-PA</t>
  </si>
  <si>
    <t>Sobic.005G014000.1.p</t>
  </si>
  <si>
    <t>Sobic.005G014200.1.p</t>
  </si>
  <si>
    <t>Sobic.008G029000.2.p</t>
  </si>
  <si>
    <t>GRMZM2G169564_P01</t>
  </si>
  <si>
    <t>GRMZM2G400559_P01</t>
  </si>
  <si>
    <t>Sobic.007G217700.1.p</t>
  </si>
  <si>
    <t>Sobic.007G217700.2.p</t>
  </si>
  <si>
    <t>Sobic.007G217700.3.p</t>
  </si>
  <si>
    <t>Sobic.007G217700.4.p</t>
  </si>
  <si>
    <t>Sobic.007G217700.5.p</t>
  </si>
  <si>
    <t>Sobic.007G217700.6.p</t>
  </si>
  <si>
    <t>Sobic.007G217700.7.p</t>
  </si>
  <si>
    <t>BGIOSGA007670-PA</t>
  </si>
  <si>
    <t>BGIOSGA020778-PA</t>
  </si>
  <si>
    <t>Sobic.004G065900.1.p</t>
  </si>
  <si>
    <t>Sobic.010G209100.1.p</t>
  </si>
  <si>
    <t>Sobic.010G209200.1.p</t>
  </si>
  <si>
    <t>GRMZM2G111711_P01</t>
  </si>
  <si>
    <t>GRMZM2G120320_P01</t>
  </si>
  <si>
    <t>GRMZM2G057116_P01</t>
  </si>
  <si>
    <t>GRMZM2G163054_P01</t>
  </si>
  <si>
    <t>GRMZM2G163054_P02</t>
  </si>
  <si>
    <t>GRMZM2G163054_P03</t>
  </si>
  <si>
    <t>GRMZM2G163054_P04</t>
  </si>
  <si>
    <t>Sobic.009G100500.1.p</t>
  </si>
  <si>
    <t>Sobic.009G100500.2.p</t>
  </si>
  <si>
    <t>GRMZM2G012724_P01</t>
  </si>
  <si>
    <t>GRMZM2G012724_P02</t>
  </si>
  <si>
    <t>GRMZM2G012724_P04</t>
  </si>
  <si>
    <t>GRMZM2G449681_P01</t>
  </si>
  <si>
    <t>BGIOSGA034613-PA</t>
  </si>
  <si>
    <t>BGIOSGA036757-PA</t>
  </si>
  <si>
    <t>Sobic.005G013800.1.p</t>
  </si>
  <si>
    <t>Sobic.005G013800.2.p</t>
  </si>
  <si>
    <t>Sobic.008G028800.1.p</t>
  </si>
  <si>
    <t>Sobic.008G029200.1.p</t>
  </si>
  <si>
    <t>Sobic.003G000600.1.p</t>
  </si>
  <si>
    <t>Sobic.003G000600.2.p</t>
  </si>
  <si>
    <t>GRMZM5G871347_P01</t>
  </si>
  <si>
    <t>GRMZM5G871347_P02</t>
  </si>
  <si>
    <t>GRMZM5G871347_P03</t>
  </si>
  <si>
    <t>BGIOSGA004705-PA</t>
  </si>
  <si>
    <t>BGIOSGA017860-PA</t>
  </si>
  <si>
    <t>BGIOSGA030346-PA</t>
  </si>
  <si>
    <t>GRMZM2G059562_P01</t>
  </si>
  <si>
    <t>GRMZM2G432583_P01</t>
  </si>
  <si>
    <t>BGIOSGA004722-PA</t>
  </si>
  <si>
    <t>BGIOSGA017876-PA</t>
  </si>
  <si>
    <t>Sobic.003G341100.1.p</t>
  </si>
  <si>
    <t>Sobic.009G171600.1.p</t>
  </si>
  <si>
    <t>GRMZM2G148087_P01</t>
  </si>
  <si>
    <t>GRMZM2G169966_P01</t>
  </si>
  <si>
    <t>BGIOSGA010657-PA</t>
  </si>
  <si>
    <t>BGIOSGA023966-PA</t>
  </si>
  <si>
    <t>GRMZM2G171428_P01</t>
  </si>
  <si>
    <t>GRMZM2G171428_P02</t>
  </si>
  <si>
    <t>GRMZM2G425430_P01</t>
  </si>
  <si>
    <t>BGIOSGA014175-PA</t>
  </si>
  <si>
    <t>BGIOSGA027488-PA</t>
  </si>
  <si>
    <t>BGIOSGA027489-PA</t>
  </si>
  <si>
    <t>BGIOSGA027491-PA</t>
  </si>
  <si>
    <t>BGIOSGA027492-PA</t>
  </si>
  <si>
    <t>Sobic.006G115700.1.p</t>
  </si>
  <si>
    <t>Sobic.006G115700.2.p</t>
  </si>
  <si>
    <t>GRMZM2G031963_P01</t>
  </si>
  <si>
    <t>GRMZM5G816457_P01</t>
  </si>
  <si>
    <t>GRMZM5G816457_P02</t>
  </si>
  <si>
    <t>BGIOSGA026734-PA</t>
  </si>
  <si>
    <t>BGIOSGA029574-PA</t>
  </si>
  <si>
    <t>Sobic.002G242500.1.p</t>
  </si>
  <si>
    <t>Sobic.002G242500.2.p</t>
  </si>
  <si>
    <t>GRMZM2G151407_P01</t>
  </si>
  <si>
    <t>GRMZM2G151407_P02</t>
  </si>
  <si>
    <t>GRMZM2G025895_P01</t>
  </si>
  <si>
    <t>GRMZM2G061408_P01</t>
  </si>
  <si>
    <t>GRMZM2G163418_P01</t>
  </si>
  <si>
    <t>GRMZM2G163418_P02</t>
  </si>
  <si>
    <t>BGIOSGA033569-PA</t>
  </si>
  <si>
    <t>BGIOSGA035675-PA</t>
  </si>
  <si>
    <t>BGIOSGA035677-PA</t>
  </si>
  <si>
    <t>Sobic.008G174100.1.p</t>
  </si>
  <si>
    <t>Sobic.008G174100.2.p</t>
  </si>
  <si>
    <t>Sobic.008G174100.3.p</t>
  </si>
  <si>
    <t>BGIOSGA034616-PA</t>
  </si>
  <si>
    <t>BGIOSGA036760-PA</t>
  </si>
  <si>
    <t>Sobic.005G013400.1.p</t>
  </si>
  <si>
    <t>Sobic.005G013500.1.p</t>
  </si>
  <si>
    <t>GRMZM2G099593_P01</t>
  </si>
  <si>
    <t>GRMZM2G461648_P01</t>
  </si>
  <si>
    <t>BGIOSGA036823-PA</t>
  </si>
  <si>
    <t>BGIOSGA036825-PA</t>
  </si>
  <si>
    <t>GRMZM2G020254_P01</t>
  </si>
  <si>
    <t>GRMZM2G020254_P02</t>
  </si>
  <si>
    <t>GRMZM2G020254_P03</t>
  </si>
  <si>
    <t>GRMZM2G141299_P01</t>
  </si>
  <si>
    <t>GRMZM2G141299_P02</t>
  </si>
  <si>
    <t>GRMZM2G141299_P03</t>
  </si>
  <si>
    <t>BGIOSGA008866-PA</t>
  </si>
  <si>
    <t>BGIOSGA017037-PA</t>
  </si>
  <si>
    <t>BGIOSGA033505-PA</t>
  </si>
  <si>
    <t>GRMZM2G018487_P01</t>
  </si>
  <si>
    <t>GRMZM2G018487_P02</t>
  </si>
  <si>
    <t>GRMZM2G147880_P01</t>
  </si>
  <si>
    <t>Sobic.006G166300.1.p</t>
  </si>
  <si>
    <t>Sobic.006G166300.2.p</t>
  </si>
  <si>
    <t>GRMZM2G123387_P01</t>
  </si>
  <si>
    <t>GRMZM2G123387_P02</t>
  </si>
  <si>
    <t>GRMZM2G366795_P01</t>
  </si>
  <si>
    <t>GRMZM2G366795_P02</t>
  </si>
  <si>
    <t>GRMZM2G448605_P01</t>
  </si>
  <si>
    <t>BGIOSGA030113-PA</t>
  </si>
  <si>
    <t>BGIOSGA034611-PA</t>
  </si>
  <si>
    <t>BGIOSGA036755-PA</t>
  </si>
  <si>
    <t>Sobic.003G353000.1.p</t>
  </si>
  <si>
    <t>Sobic.003G353000.2.p</t>
  </si>
  <si>
    <t>Sobic.003G353000.3.p</t>
  </si>
  <si>
    <t>GRMZM2G083350_P01</t>
  </si>
  <si>
    <t>GRMZM2G176489_P01</t>
  </si>
  <si>
    <t>AC198725.4_FGP009</t>
  </si>
  <si>
    <t>GRMZM2G145554_P01</t>
  </si>
  <si>
    <t>GRMZM2G029292_P02</t>
  </si>
  <si>
    <t>GRMZM2G029292_P03</t>
  </si>
  <si>
    <t>BGIOSGA004703-PA</t>
  </si>
  <si>
    <t>BGIOSGA032700-PA</t>
  </si>
  <si>
    <t>GRMZM2G377217_P01</t>
  </si>
  <si>
    <t>GRMZM2G377217_P02</t>
  </si>
  <si>
    <t>GRMZM2G149219_P01</t>
  </si>
  <si>
    <t>GRMZM2G161411_P01</t>
  </si>
  <si>
    <t>BGIOSGA012523-PA</t>
  </si>
  <si>
    <t>BGIOSGA012525-PA</t>
  </si>
  <si>
    <t>Sobic.001G006600.1.p</t>
  </si>
  <si>
    <t>Sobic.001G006600.2.p</t>
  </si>
  <si>
    <t>GRMZM2G006497_P01</t>
  </si>
  <si>
    <t>GRMZM2G156529_P01</t>
  </si>
  <si>
    <t>Sobic.010G035300.1.p</t>
  </si>
  <si>
    <t>Sobic.010G035300.2.p</t>
  </si>
  <si>
    <t>Sobic.002G202800.1.p</t>
  </si>
  <si>
    <t>Sobic.002G202800.2.p</t>
  </si>
  <si>
    <t>GRMZM2G125653_P01</t>
  </si>
  <si>
    <t>GRMZM2G125653_P02</t>
  </si>
  <si>
    <t>GRMZM2G054125_P01</t>
  </si>
  <si>
    <t>GRMZM2G106560_P02</t>
  </si>
  <si>
    <t>GRMZM2G173680_P01</t>
  </si>
  <si>
    <t>GRMZM2G173680_P02</t>
  </si>
  <si>
    <t>AC205562.3_FGP002</t>
  </si>
  <si>
    <t>GRMZM2G324999_P01</t>
  </si>
  <si>
    <t>GRMZM2G143204_P01</t>
  </si>
  <si>
    <t>GRMZM2G143204_P02</t>
  </si>
  <si>
    <t>GRMZM2G143204_P03</t>
  </si>
  <si>
    <t>Sobic.001G282400.1.p</t>
  </si>
  <si>
    <t>Sobic.001G282400.2.p</t>
  </si>
  <si>
    <t>Sobic.001G282400.3.p</t>
  </si>
  <si>
    <t>Sobic.002G104400.1.p</t>
  </si>
  <si>
    <t>Sobic.002G104400.2.p</t>
  </si>
  <si>
    <t>Sobic.002G104400.3.p</t>
  </si>
  <si>
    <t>Sobic.002G104400.4.p</t>
  </si>
  <si>
    <t>Sobic.009G034800.1.p</t>
  </si>
  <si>
    <t>Sobic.009G034800.2.p</t>
  </si>
  <si>
    <t>Sobic.002G128400.1.p</t>
  </si>
  <si>
    <t>Sobic.002G128400.2.p</t>
  </si>
  <si>
    <t>GRMZM2G449681_P02</t>
  </si>
  <si>
    <t>GRMZM2G449681_P03</t>
  </si>
  <si>
    <t>Sobic.001G162100.1.p</t>
  </si>
  <si>
    <t>Sobic.001G162100.2.p</t>
  </si>
  <si>
    <t>Sobic.002G168300.1.p</t>
  </si>
  <si>
    <t>Sobic.002G168300.2.p</t>
  </si>
  <si>
    <t>Sobic.002G168300.3.p</t>
  </si>
  <si>
    <t>Sobic.003G037400.1.p</t>
  </si>
  <si>
    <t>Sobic.003G037400.2.p</t>
  </si>
  <si>
    <t>BGIOSGA019117-PA</t>
  </si>
  <si>
    <t>BGIOSGA019119-PA</t>
  </si>
  <si>
    <t>Sobic.006G051700.1.p</t>
  </si>
  <si>
    <t>Sobic.006G051700.2.p</t>
  </si>
  <si>
    <t>GRMZM2G052671_P01</t>
  </si>
  <si>
    <t>GRMZM2G052671_P02</t>
  </si>
  <si>
    <t>GRMZM2G401521_P01</t>
  </si>
  <si>
    <t>GRMZM2G401521_P02</t>
  </si>
  <si>
    <t>GRMZM5G812272_P01</t>
  </si>
  <si>
    <t>GRMZM5G812272_P02</t>
  </si>
  <si>
    <t>GRMZM5G880069_P02</t>
  </si>
  <si>
    <t>GRMZM5G880069_P03</t>
  </si>
  <si>
    <t>Supplementary Table S2: Isoforms</t>
  </si>
  <si>
    <t>Supplementary Table S3: MAFFT results</t>
  </si>
  <si>
    <t>NumSeq</t>
  </si>
  <si>
    <t>AlignmentLength</t>
  </si>
  <si>
    <t>MeanPairwiseIdentity</t>
  </si>
  <si>
    <t>MinPairwiseIdentity</t>
  </si>
  <si>
    <t>MaxPairwiseIdentity</t>
  </si>
  <si>
    <t>ConservedCols</t>
  </si>
  <si>
    <t>ConservedPct</t>
  </si>
  <si>
    <t>GapPct</t>
  </si>
  <si>
    <t>Rice_Maize_MeanIdentity</t>
  </si>
  <si>
    <t>Rice_Sorghum_MeanIdentity</t>
  </si>
  <si>
    <t>Maize_Sorghum_MeanIdentity</t>
  </si>
  <si>
    <t>Rice_Maize_N</t>
  </si>
  <si>
    <t>Rice_Sorghum_N</t>
  </si>
  <si>
    <t>Maize_Sorghum_N</t>
  </si>
  <si>
    <t>NA</t>
  </si>
  <si>
    <t>EventID</t>
  </si>
  <si>
    <t>Support</t>
  </si>
  <si>
    <t>Type</t>
  </si>
  <si>
    <t>N0</t>
  </si>
  <si>
    <t>Non-Terminal</t>
  </si>
  <si>
    <t>Terminal</t>
  </si>
  <si>
    <t>Species tree node</t>
  </si>
  <si>
    <t>Species (terminal events)</t>
  </si>
  <si>
    <t>Sequences in event</t>
  </si>
  <si>
    <t>Distinct genes in event</t>
  </si>
  <si>
    <t>Event class</t>
  </si>
  <si>
    <t>Species-OG pair first seen (any terminal event)</t>
  </si>
  <si>
    <t>Species-OG pair first seen (gene-level event)</t>
  </si>
  <si>
    <t>Ancestor</t>
  </si>
  <si>
    <t>Ancestral (N0)</t>
  </si>
  <si>
    <t>Sorghum</t>
  </si>
  <si>
    <t>Isoform-only</t>
  </si>
  <si>
    <t>Rice</t>
  </si>
  <si>
    <t>Gene-level</t>
  </si>
  <si>
    <t>Maize</t>
  </si>
  <si>
    <t>Gene ID</t>
  </si>
  <si>
    <t>Orthogroup(s)</t>
  </si>
  <si>
    <t>Gene-level events involving gene (from sheet 2)</t>
  </si>
  <si>
    <t>Name</t>
  </si>
  <si>
    <t>WRKY group</t>
  </si>
  <si>
    <t>Chromosome</t>
  </si>
  <si>
    <t>Mapping status</t>
  </si>
  <si>
    <t>Documented function / note</t>
  </si>
  <si>
    <t>Source (DOI)</t>
  </si>
  <si>
    <t>BGIOSGA001176</t>
  </si>
  <si>
    <t>OsI_02926</t>
  </si>
  <si>
    <t>Unmapped</t>
  </si>
  <si>
    <t>BGIOSGA001178</t>
  </si>
  <si>
    <t>OsI_02922</t>
  </si>
  <si>
    <t>BGIOSGA004703</t>
  </si>
  <si>
    <t>OsI_04233</t>
  </si>
  <si>
    <t>BGIOSGA008866</t>
  </si>
  <si>
    <t>OsI_08576, WRKY66</t>
  </si>
  <si>
    <t>BGIOSGA009781</t>
  </si>
  <si>
    <t>OsI_13604</t>
  </si>
  <si>
    <t>BGIOSGA010657</t>
  </si>
  <si>
    <t>OsI_11758</t>
  </si>
  <si>
    <t>BGIOSGA012523</t>
  </si>
  <si>
    <t>OsI_11350</t>
  </si>
  <si>
    <t>BGIOSGA012525</t>
  </si>
  <si>
    <t>OsI_11354</t>
  </si>
  <si>
    <t>BGIOSGA014175</t>
  </si>
  <si>
    <t>OsI_17774</t>
  </si>
  <si>
    <t>BGIOSGA017037</t>
  </si>
  <si>
    <t>OsI_17230</t>
  </si>
  <si>
    <t>BGIOSGA017860</t>
  </si>
  <si>
    <t>OsI_20348, WRKY54</t>
  </si>
  <si>
    <t>BGIOSGA023966</t>
  </si>
  <si>
    <t>OsI_26732</t>
  </si>
  <si>
    <t>BGIOSGA024948</t>
  </si>
  <si>
    <t>OsI_24642</t>
  </si>
  <si>
    <t>BGIOSGA026734</t>
  </si>
  <si>
    <t>OsI_29756</t>
  </si>
  <si>
    <t>BGIOSGA027488</t>
  </si>
  <si>
    <t>OsI_28165</t>
  </si>
  <si>
    <t>BGIOSGA027489</t>
  </si>
  <si>
    <t>OsI_28164</t>
  </si>
  <si>
    <t>BGIOSGA027491</t>
  </si>
  <si>
    <t>OsI_28159</t>
  </si>
  <si>
    <t>BGIOSGA027492</t>
  </si>
  <si>
    <t>OsI_28158</t>
  </si>
  <si>
    <t>BGIOSGA029574</t>
  </si>
  <si>
    <t>OsI_31794</t>
  </si>
  <si>
    <t>BGIOSGA030113</t>
  </si>
  <si>
    <t>OsI_30635</t>
  </si>
  <si>
    <t>BGIOSGA030346</t>
  </si>
  <si>
    <t>OsI_30509</t>
  </si>
  <si>
    <t>BGIOSGA032700</t>
  </si>
  <si>
    <t>OsI_33087</t>
  </si>
  <si>
    <t>BGIOSGA033505</t>
  </si>
  <si>
    <t>OsI_34795</t>
  </si>
  <si>
    <t>BGIOSGA033569</t>
  </si>
  <si>
    <t>OsI_36959</t>
  </si>
  <si>
    <t>BGIOSGA034611</t>
  </si>
  <si>
    <t>OsI_34882</t>
  </si>
  <si>
    <t>BGIOSGA034612</t>
  </si>
  <si>
    <t>OsI_34881</t>
  </si>
  <si>
    <t>BGIOSGA034613</t>
  </si>
  <si>
    <t>OsI_34880</t>
  </si>
  <si>
    <t>BGIOSGA034615</t>
  </si>
  <si>
    <t>OsI_34877</t>
  </si>
  <si>
    <t>BGIOSGA034616</t>
  </si>
  <si>
    <t>OsI_34876</t>
  </si>
  <si>
    <t>BGIOSGA035675</t>
  </si>
  <si>
    <t>OsWRKY125 / OsBRW1</t>
  </si>
  <si>
    <t>Confirmed</t>
  </si>
  <si>
    <t>LOC_Os11g45750; reported as a CC-NBS-LRR gene, not a canonical WRKY; blast resistance (knockout and overexpression)</t>
  </si>
  <si>
    <t>10.1111/pbi.14494</t>
  </si>
  <si>
    <t>BGIOSGA035677</t>
  </si>
  <si>
    <t>OsI_36961</t>
  </si>
  <si>
    <t>BGIOSGA036755</t>
  </si>
  <si>
    <t>(unmapped)</t>
  </si>
  <si>
    <t>BGIOSGA036756</t>
  </si>
  <si>
    <t>BGIOSGA036757</t>
  </si>
  <si>
    <t>BGIOSGA036759</t>
  </si>
  <si>
    <t>BGIOSGA036760</t>
  </si>
  <si>
    <t>BGIOSGA036823</t>
  </si>
  <si>
    <t>BGIOSGA036825</t>
  </si>
  <si>
    <t>Sobic.005G013400</t>
  </si>
  <si>
    <t>SbWRKY51</t>
  </si>
  <si>
    <t>III</t>
  </si>
  <si>
    <t>Tandem partner of SbWRKY52; WRKYGEK variant; no functional data</t>
  </si>
  <si>
    <t>10.1371/journal.pone.0236651</t>
  </si>
  <si>
    <t>Sobic.005G013500</t>
  </si>
  <si>
    <t>SbWRKY52</t>
  </si>
  <si>
    <t>Inferred</t>
  </si>
  <si>
    <t>Probably SbWRKY52 (next gene model; tandem partner of SbWRKY51). Check Baillo et al. Table 1</t>
  </si>
  <si>
    <t>Sobic.005G013600</t>
  </si>
  <si>
    <t>SbWRKY53</t>
  </si>
  <si>
    <t>Probably SbWRKY53 (positional order). Check Baillo et al. Table 1</t>
  </si>
  <si>
    <t>Sobic.005G013800</t>
  </si>
  <si>
    <t>SbWRKY54</t>
  </si>
  <si>
    <t>Probably SbWRKY54 (positional order). Check Baillo et al. Table 1</t>
  </si>
  <si>
    <t>Sobic.005G014000</t>
  </si>
  <si>
    <t>SbWRKY55</t>
  </si>
  <si>
    <t>Probably SbWRKY55 (positional order). Check Baillo et al. Table 1</t>
  </si>
  <si>
    <t>Sobic.008G028800</t>
  </si>
  <si>
    <t>Probably SbWRKY68 (positional order). Check Baillo et al. Table 1</t>
  </si>
  <si>
    <t>Sobic.008G029000</t>
  </si>
  <si>
    <t>SbWRKY69</t>
  </si>
  <si>
    <t>No functional data</t>
  </si>
  <si>
    <t>Sobic.008G029200</t>
  </si>
  <si>
    <t>Probably SbWRKY70 (positional order). Check Baillo et al. Table 1</t>
  </si>
  <si>
    <t>Sobic.008G029400</t>
  </si>
  <si>
    <t>Probably SbWRKY71 (positional order). Check Baillo et al. Table 1</t>
  </si>
  <si>
    <t>Sobic.010G209100</t>
  </si>
  <si>
    <t>Baillo et al. report no chromosome 10 cluster</t>
  </si>
  <si>
    <t>Sobic.010G209200</t>
  </si>
  <si>
    <t>ZmWRKY43</t>
  </si>
  <si>
    <t>IIc</t>
  </si>
  <si>
    <t>None found</t>
  </si>
  <si>
    <t>10.1039/c2mb05483c (name table)</t>
  </si>
  <si>
    <t>ZmWRKY49</t>
  </si>
  <si>
    <t>GRMZM2G006497</t>
  </si>
  <si>
    <t>ZmWRKY84</t>
  </si>
  <si>
    <t>IIe</t>
  </si>
  <si>
    <t>GRMZM2G012724</t>
  </si>
  <si>
    <t>ZmWRKY70</t>
  </si>
  <si>
    <t>I</t>
  </si>
  <si>
    <t>Submergence tolerance reported for ZmWRKY70 in Arabidopsis overexpression; gene ID not verified</t>
  </si>
  <si>
    <t>10.1016/j.plaphy.2023.107861</t>
  </si>
  <si>
    <t>GRMZM2G018487</t>
  </si>
  <si>
    <t>ZmWRKY8</t>
  </si>
  <si>
    <t>IId</t>
  </si>
  <si>
    <t>GRMZM2G025895</t>
  </si>
  <si>
    <t>ZmWRKY78</t>
  </si>
  <si>
    <t>GRMZM2G031963</t>
  </si>
  <si>
    <t>ZmWRKY117</t>
  </si>
  <si>
    <t>GRMZM2G054125</t>
  </si>
  <si>
    <t>ZmWRKY46</t>
  </si>
  <si>
    <t>GRMZM2G057116</t>
  </si>
  <si>
    <t>ZmWRKY90</t>
  </si>
  <si>
    <t>GRMZM2G061408</t>
  </si>
  <si>
    <t>ZmWRKY91</t>
  </si>
  <si>
    <t>GRMZM2G083350</t>
  </si>
  <si>
    <t>ZmWRKY86</t>
  </si>
  <si>
    <t>IIb</t>
  </si>
  <si>
    <t>Mutation of ZmWRKY86 enhanced salt tolerance; gene ID not verified</t>
  </si>
  <si>
    <t>10.1016/j.plaphy.2021.09.010</t>
  </si>
  <si>
    <t>GRMZM2G090594</t>
  </si>
  <si>
    <t>ZmWRKY114</t>
  </si>
  <si>
    <t>Salt-down-regulated, ABA-induced; overexpression in rice lowered salt tolerance (negative regulator); GA-related semi-dwarf phenotype</t>
  </si>
  <si>
    <t>10.1007/s00299-019-02481-3; 10.1080/15592324.2021.1967635</t>
  </si>
  <si>
    <t>GRMZM2G099593</t>
  </si>
  <si>
    <t>ZmWRKY19</t>
  </si>
  <si>
    <t>GRMZM2G105140</t>
  </si>
  <si>
    <t>ZmWRKY44</t>
  </si>
  <si>
    <t>GRMZM2G106560</t>
  </si>
  <si>
    <t>ZmWRKY24</t>
  </si>
  <si>
    <t>GRMZM2G145554</t>
  </si>
  <si>
    <t>ZmWRKY99</t>
  </si>
  <si>
    <t>GRMZM2G147880</t>
  </si>
  <si>
    <t>ZmWRKY58</t>
  </si>
  <si>
    <t>Induced by drought, salt, ABA; overexpression in rice improved drought and salt tolerance</t>
  </si>
  <si>
    <t>10.1007/s11240-014-0556-7</t>
  </si>
  <si>
    <t>GRMZM2G148561</t>
  </si>
  <si>
    <t>ZmWRKY48</t>
  </si>
  <si>
    <t>GRMZM2G149219</t>
  </si>
  <si>
    <t>ZmWRKY7</t>
  </si>
  <si>
    <t>GRMZM2G149683</t>
  </si>
  <si>
    <t>ZmWRKY98</t>
  </si>
  <si>
    <t>GRMZM2G156529</t>
  </si>
  <si>
    <t>ZmWRKY67</t>
  </si>
  <si>
    <t>GRMZM2G161411</t>
  </si>
  <si>
    <t>ZmWRKY59</t>
  </si>
  <si>
    <t>GRMZM2G163054</t>
  </si>
  <si>
    <t>ZmWRKY68</t>
  </si>
  <si>
    <t>GRMZM2G163418</t>
  </si>
  <si>
    <t>ZmWRKY20</t>
  </si>
  <si>
    <t>Negative regulator of salt tolerance in maize (name match; verify the gene ID in the paper)</t>
  </si>
  <si>
    <t>10.1111/tpj.15914</t>
  </si>
  <si>
    <t>GRMZM2G171428</t>
  </si>
  <si>
    <t>ZmWRKY110</t>
  </si>
  <si>
    <t>GRMZM2G176489</t>
  </si>
  <si>
    <t>ZmWRKY27</t>
  </si>
  <si>
    <t>GRMZM2G324999</t>
  </si>
  <si>
    <t>ZmWRKY5</t>
  </si>
  <si>
    <t>GRMZM2G366795</t>
  </si>
  <si>
    <t>ZmWRKY75</t>
  </si>
  <si>
    <t>GRMZM2G425430</t>
  </si>
  <si>
    <t>ZmWRKY2</t>
  </si>
  <si>
    <t>GRMZM2G448605</t>
  </si>
  <si>
    <t>ZmWRKY87</t>
  </si>
  <si>
    <t>GRMZM2G449681</t>
  </si>
  <si>
    <t>ZmWRKY92</t>
  </si>
  <si>
    <t>GRMZM2G461648</t>
  </si>
  <si>
    <t>ZmWRKY54</t>
  </si>
  <si>
    <t>GRMZM5G816457</t>
  </si>
  <si>
    <t>ZmWRKY16</t>
  </si>
  <si>
    <t>Supplementary Table S5: Gene names and functions</t>
  </si>
  <si>
    <t>Supplementary Table S4: Duplication 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</si>
</sst>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color rgb="FFFFFFFF"/>
      <name val="Aptos Narrow"/>
      <scheme val="minor"/>
    </font>
    <font>
      <sz val="10"/>
      <name val="Aptos Narrow"/>
      <scheme val="minor"/>
    </font>
    <font>
      <sz val="10"/>
      <color rgb="FF0000FF"/>
      <name val="Aptos Narrow"/>
      <scheme val="minor"/>
    </font>
    <font>
      <i/>
      <sz val="10"/>
      <name val="Aptos Narrow"/>
      <scheme val="minor"/>
    </font>
    <font>
      <b/>
      <sz val="12"/>
      <color theme="0"/>
      <name val="Aptos Narrow"/>
      <scheme val="minor"/>
    </font>
    <font>
      <b/>
      <sz val="10"/>
      <color theme="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/>
        <bgColor rgb="FF595959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 wrapText="1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4" fillId="2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SCIE4002_lab/WRKY_results_1/WRKY_duplication_workings.xlsx" TargetMode="External"/><Relationship Id="rId2" Type="http://schemas.openxmlformats.org/officeDocument/2006/relationships/externalLinkPath" Target="/Users/chairunnisanuramanda/SCIE4002_lab/WRKY_results_1/WRKY_duplication_workings.xlsx" TargetMode="External"/><Relationship Id="rId1" Type="http://schemas.openxmlformats.org/officeDocument/2006/relationships/externalLinkPath" Target="/Users/chairunnisanuramanda/SCIE4002_lab/WRKY_results_1/WRKY_duplication_work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ME"/>
      <sheetName val="1_Raw_Events"/>
      <sheetName val="2_Sequences"/>
      <sheetName val="3_Events"/>
      <sheetName val="4_Summary"/>
      <sheetName val="5_Seq_vs_genes"/>
      <sheetName val="6_Gene_naming"/>
      <sheetName val="7_Longest_run"/>
    </sheetNames>
    <sheetDataSet>
      <sheetData sheetId="0" refreshError="1"/>
      <sheetData sheetId="1" refreshError="1"/>
      <sheetData sheetId="2">
        <row r="2">
          <cell r="G2" t="str">
            <v>Sobic.003G248400</v>
          </cell>
          <cell r="I2" t="str">
            <v>Ancestral (N0)</v>
          </cell>
        </row>
        <row r="3">
          <cell r="G3" t="str">
            <v>GRMZM2G151763</v>
          </cell>
          <cell r="I3" t="str">
            <v>Ancestral (N0)</v>
          </cell>
        </row>
        <row r="4">
          <cell r="G4" t="str">
            <v>BGIOSGA001069</v>
          </cell>
          <cell r="I4" t="str">
            <v>Ancestral (N0)</v>
          </cell>
        </row>
        <row r="5">
          <cell r="G5" t="str">
            <v>Sobic.009G234100</v>
          </cell>
          <cell r="I5" t="str">
            <v>Ancestral (N0)</v>
          </cell>
        </row>
        <row r="6">
          <cell r="G6" t="str">
            <v>GRMZM2G453571</v>
          </cell>
          <cell r="I6" t="str">
            <v>Ancestral (N0)</v>
          </cell>
        </row>
        <row r="7">
          <cell r="G7" t="str">
            <v>BGIOSGA020371</v>
          </cell>
          <cell r="I7" t="str">
            <v>Ancestral (N0)</v>
          </cell>
        </row>
        <row r="8">
          <cell r="G8" t="str">
            <v>GRMZM2G018721</v>
          </cell>
          <cell r="I8" t="str">
            <v>Ancestral (N0)</v>
          </cell>
        </row>
        <row r="9">
          <cell r="G9" t="str">
            <v>Sobic.002G008600</v>
          </cell>
          <cell r="I9" t="str">
            <v>Ancestral (N0)</v>
          </cell>
        </row>
        <row r="10">
          <cell r="G10" t="str">
            <v>Sobic.002G008600</v>
          </cell>
          <cell r="I10" t="str">
            <v>Ancestral (N0)</v>
          </cell>
        </row>
        <row r="11">
          <cell r="G11" t="str">
            <v>BGIOSGA024948</v>
          </cell>
          <cell r="I11" t="str">
            <v>Ancestral (N0)</v>
          </cell>
        </row>
        <row r="12">
          <cell r="G12" t="str">
            <v>BGIOSGA009781</v>
          </cell>
          <cell r="I12" t="str">
            <v>Ancestral (N0)</v>
          </cell>
        </row>
        <row r="13">
          <cell r="G13" t="str">
            <v>Sobic.009G234100</v>
          </cell>
          <cell r="I13" t="str">
            <v>Ancestral (N0)</v>
          </cell>
        </row>
        <row r="14">
          <cell r="G14" t="str">
            <v>GRMZM2G453571</v>
          </cell>
          <cell r="I14" t="str">
            <v>Ancestral (N0)</v>
          </cell>
        </row>
        <row r="15">
          <cell r="G15" t="str">
            <v>BGIOSGA020371</v>
          </cell>
          <cell r="I15" t="str">
            <v>Ancestral (N0)</v>
          </cell>
        </row>
        <row r="16">
          <cell r="G16" t="str">
            <v>GRMZM2G018721</v>
          </cell>
          <cell r="I16" t="str">
            <v>Ancestral (N0)</v>
          </cell>
        </row>
        <row r="17">
          <cell r="G17" t="str">
            <v>Sobic.002G008600</v>
          </cell>
          <cell r="I17" t="str">
            <v>Ancestral (N0)</v>
          </cell>
        </row>
        <row r="18">
          <cell r="G18" t="str">
            <v>Sobic.002G008600</v>
          </cell>
          <cell r="I18" t="str">
            <v>Ancestral (N0)</v>
          </cell>
        </row>
        <row r="19">
          <cell r="G19" t="str">
            <v>BGIOSGA024948</v>
          </cell>
          <cell r="I19" t="str">
            <v>Ancestral (N0)</v>
          </cell>
        </row>
        <row r="20">
          <cell r="G20" t="str">
            <v>BGIOSGA009781</v>
          </cell>
          <cell r="I20" t="str">
            <v>Ancestral (N0)</v>
          </cell>
        </row>
        <row r="21">
          <cell r="G21" t="str">
            <v>Sobic.002G008600</v>
          </cell>
          <cell r="I21" t="str">
            <v>Isoform-only</v>
          </cell>
        </row>
        <row r="22">
          <cell r="G22" t="str">
            <v>Sobic.002G008600</v>
          </cell>
          <cell r="I22" t="str">
            <v>Isoform-only</v>
          </cell>
        </row>
        <row r="23">
          <cell r="G23" t="str">
            <v>BGIOSGA024948</v>
          </cell>
          <cell r="I23" t="str">
            <v>Gene-level</v>
          </cell>
        </row>
        <row r="24">
          <cell r="G24" t="str">
            <v>BGIOSGA009781</v>
          </cell>
          <cell r="I24" t="str">
            <v>Gene-level</v>
          </cell>
        </row>
        <row r="25">
          <cell r="G25" t="str">
            <v>BGIOSGA036759</v>
          </cell>
          <cell r="I25" t="str">
            <v>Gene-level</v>
          </cell>
        </row>
        <row r="26">
          <cell r="G26" t="str">
            <v>BGIOSGA034615</v>
          </cell>
          <cell r="I26" t="str">
            <v>Gene-level</v>
          </cell>
        </row>
        <row r="27">
          <cell r="G27" t="str">
            <v>Sobic.008G029400</v>
          </cell>
          <cell r="I27" t="str">
            <v>Gene-level</v>
          </cell>
        </row>
        <row r="28">
          <cell r="G28" t="str">
            <v>Sobic.008G029400</v>
          </cell>
          <cell r="I28" t="str">
            <v>Gene-level</v>
          </cell>
        </row>
        <row r="29">
          <cell r="G29" t="str">
            <v>Sobic.005G013600</v>
          </cell>
          <cell r="I29" t="str">
            <v>Gene-level</v>
          </cell>
        </row>
        <row r="30">
          <cell r="G30" t="str">
            <v>Sobic.005G013600</v>
          </cell>
          <cell r="I30" t="str">
            <v>Gene-level</v>
          </cell>
        </row>
        <row r="31">
          <cell r="G31" t="str">
            <v>Sobic.005G013600</v>
          </cell>
          <cell r="I31" t="str">
            <v>Gene-level</v>
          </cell>
        </row>
        <row r="32">
          <cell r="G32" t="str">
            <v>Sobic.005G013600</v>
          </cell>
          <cell r="I32" t="str">
            <v>Gene-level</v>
          </cell>
        </row>
        <row r="33">
          <cell r="G33" t="str">
            <v>Sobic.005G013600</v>
          </cell>
          <cell r="I33" t="str">
            <v>Gene-level</v>
          </cell>
        </row>
        <row r="34">
          <cell r="G34" t="str">
            <v>Sobic.008G029400</v>
          </cell>
          <cell r="I34" t="str">
            <v>Isoform-only</v>
          </cell>
        </row>
        <row r="35">
          <cell r="G35" t="str">
            <v>Sobic.008G029400</v>
          </cell>
          <cell r="I35" t="str">
            <v>Isoform-only</v>
          </cell>
        </row>
        <row r="36">
          <cell r="G36" t="str">
            <v>Sobic.005G013600</v>
          </cell>
          <cell r="I36" t="str">
            <v>Isoform-only</v>
          </cell>
        </row>
        <row r="37">
          <cell r="G37" t="str">
            <v>Sobic.005G013600</v>
          </cell>
          <cell r="I37" t="str">
            <v>Isoform-only</v>
          </cell>
        </row>
        <row r="38">
          <cell r="G38" t="str">
            <v>Sobic.005G013600</v>
          </cell>
          <cell r="I38" t="str">
            <v>Isoform-only</v>
          </cell>
        </row>
        <row r="39">
          <cell r="G39" t="str">
            <v>Sobic.005G013600</v>
          </cell>
          <cell r="I39" t="str">
            <v>Isoform-only</v>
          </cell>
        </row>
        <row r="40">
          <cell r="G40" t="str">
            <v>Sobic.005G013600</v>
          </cell>
          <cell r="I40" t="str">
            <v>Isoform-only</v>
          </cell>
        </row>
        <row r="41">
          <cell r="G41" t="str">
            <v>Sobic.005G013600</v>
          </cell>
          <cell r="I41" t="str">
            <v>Isoform-only</v>
          </cell>
        </row>
        <row r="42">
          <cell r="G42" t="str">
            <v>Sobic.005G013600</v>
          </cell>
          <cell r="I42" t="str">
            <v>Isoform-only</v>
          </cell>
        </row>
        <row r="43">
          <cell r="G43" t="str">
            <v>Sobic.005G013600</v>
          </cell>
          <cell r="I43" t="str">
            <v>Isoform-only</v>
          </cell>
        </row>
        <row r="44">
          <cell r="G44" t="str">
            <v>Sobic.005G013600</v>
          </cell>
          <cell r="I44" t="str">
            <v>Isoform-only</v>
          </cell>
        </row>
        <row r="45">
          <cell r="G45" t="str">
            <v>Sobic.005G013600</v>
          </cell>
          <cell r="I45" t="str">
            <v>Isoform-only</v>
          </cell>
        </row>
        <row r="46">
          <cell r="G46" t="str">
            <v>Sobic.005G013600</v>
          </cell>
          <cell r="I46" t="str">
            <v>Isoform-only</v>
          </cell>
        </row>
        <row r="47">
          <cell r="G47" t="str">
            <v>Sobic.005G013600</v>
          </cell>
          <cell r="I47" t="str">
            <v>Isoform-only</v>
          </cell>
        </row>
        <row r="48">
          <cell r="G48" t="str">
            <v>Sobic.005G013600</v>
          </cell>
          <cell r="I48" t="str">
            <v>Isoform-only</v>
          </cell>
        </row>
        <row r="49">
          <cell r="G49" t="str">
            <v>Sobic.005G013600</v>
          </cell>
          <cell r="I49" t="str">
            <v>Isoform-only</v>
          </cell>
        </row>
        <row r="50">
          <cell r="G50" t="str">
            <v>BGIOSGA020451</v>
          </cell>
          <cell r="I50" t="str">
            <v>Ancestral (N0)</v>
          </cell>
        </row>
        <row r="51">
          <cell r="G51" t="str">
            <v>Sobic.009G247700</v>
          </cell>
          <cell r="I51" t="str">
            <v>Ancestral (N0)</v>
          </cell>
        </row>
        <row r="52">
          <cell r="G52" t="str">
            <v>GRMZM2G414315</v>
          </cell>
          <cell r="I52" t="str">
            <v>Ancestral (N0)</v>
          </cell>
        </row>
        <row r="53">
          <cell r="G53" t="str">
            <v>BGIOSGA001176</v>
          </cell>
          <cell r="I53" t="str">
            <v>Ancestral (N0)</v>
          </cell>
        </row>
        <row r="54">
          <cell r="G54" t="str">
            <v>BGIOSGA001178</v>
          </cell>
          <cell r="I54" t="str">
            <v>Ancestral (N0)</v>
          </cell>
        </row>
        <row r="55">
          <cell r="G55" t="str">
            <v>Sobic.003G226600</v>
          </cell>
          <cell r="I55" t="str">
            <v>Ancestral (N0)</v>
          </cell>
        </row>
        <row r="56">
          <cell r="G56" t="str">
            <v>GRMZM2G105140</v>
          </cell>
          <cell r="I56" t="str">
            <v>Ancestral (N0)</v>
          </cell>
        </row>
        <row r="57">
          <cell r="G57" t="str">
            <v>GRMZM2G149683</v>
          </cell>
          <cell r="I57" t="str">
            <v>Ancestral (N0)</v>
          </cell>
        </row>
        <row r="58">
          <cell r="G58" t="str">
            <v>BGIOSGA001176</v>
          </cell>
          <cell r="I58" t="str">
            <v>Gene-level</v>
          </cell>
        </row>
        <row r="59">
          <cell r="G59" t="str">
            <v>BGIOSGA001178</v>
          </cell>
          <cell r="I59" t="str">
            <v>Gene-level</v>
          </cell>
        </row>
        <row r="60">
          <cell r="G60" t="str">
            <v>GRMZM2G105140</v>
          </cell>
          <cell r="I60" t="str">
            <v>Gene-level</v>
          </cell>
        </row>
        <row r="61">
          <cell r="G61" t="str">
            <v>GRMZM2G149683</v>
          </cell>
          <cell r="I61" t="str">
            <v>Gene-level</v>
          </cell>
        </row>
        <row r="62">
          <cell r="G62" t="str">
            <v>GRMZM2G090594</v>
          </cell>
          <cell r="I62" t="str">
            <v>Ancestral (N0)</v>
          </cell>
        </row>
        <row r="63">
          <cell r="G63" t="str">
            <v>GRMZM2G148561</v>
          </cell>
          <cell r="I63" t="str">
            <v>Ancestral (N0)</v>
          </cell>
        </row>
        <row r="64">
          <cell r="G64" t="str">
            <v>Sobic.007G085300</v>
          </cell>
          <cell r="I64" t="str">
            <v>Ancestral (N0)</v>
          </cell>
        </row>
        <row r="65">
          <cell r="G65" t="str">
            <v>BGIOSGA027404</v>
          </cell>
          <cell r="I65" t="str">
            <v>Ancestral (N0)</v>
          </cell>
        </row>
        <row r="66">
          <cell r="G66" t="str">
            <v>BGIOSGA017063</v>
          </cell>
          <cell r="I66" t="str">
            <v>Ancestral (N0)</v>
          </cell>
        </row>
        <row r="67">
          <cell r="G67" t="str">
            <v>Sobic.006G206000</v>
          </cell>
          <cell r="I67" t="str">
            <v>Ancestral (N0)</v>
          </cell>
        </row>
        <row r="68">
          <cell r="G68" t="str">
            <v>GRMZM2G071907</v>
          </cell>
          <cell r="I68" t="str">
            <v>Ancestral (N0)</v>
          </cell>
        </row>
        <row r="69">
          <cell r="G69" t="str">
            <v>GRMZM2G071907</v>
          </cell>
          <cell r="I69" t="str">
            <v>Ancestral (N0)</v>
          </cell>
        </row>
        <row r="70">
          <cell r="G70" t="str">
            <v>GRMZM2G090594</v>
          </cell>
          <cell r="I70" t="str">
            <v>Gene-level</v>
          </cell>
        </row>
        <row r="71">
          <cell r="G71" t="str">
            <v>GRMZM2G148561</v>
          </cell>
          <cell r="I71" t="str">
            <v>Gene-level</v>
          </cell>
        </row>
        <row r="72">
          <cell r="G72" t="str">
            <v>GRMZM2G071907</v>
          </cell>
          <cell r="I72" t="str">
            <v>Isoform-only</v>
          </cell>
        </row>
        <row r="73">
          <cell r="G73" t="str">
            <v>GRMZM2G071907</v>
          </cell>
          <cell r="I73" t="str">
            <v>Isoform-only</v>
          </cell>
        </row>
        <row r="74">
          <cell r="G74" t="str">
            <v>GRMZM2G400559</v>
          </cell>
          <cell r="I74" t="str">
            <v>Ancestral (N0)</v>
          </cell>
        </row>
        <row r="75">
          <cell r="G75" t="str">
            <v>Sobic.005G014200</v>
          </cell>
          <cell r="I75" t="str">
            <v>Ancestral (N0)</v>
          </cell>
        </row>
        <row r="76">
          <cell r="G76" t="str">
            <v>BGIOSGA017556</v>
          </cell>
          <cell r="I76" t="str">
            <v>Ancestral (N0)</v>
          </cell>
        </row>
        <row r="77">
          <cell r="G77" t="str">
            <v>BGIOSGA036756</v>
          </cell>
          <cell r="I77" t="str">
            <v>Ancestral (N0)</v>
          </cell>
        </row>
        <row r="78">
          <cell r="G78" t="str">
            <v>BGIOSGA034612</v>
          </cell>
          <cell r="I78" t="str">
            <v>Ancestral (N0)</v>
          </cell>
        </row>
        <row r="79">
          <cell r="G79" t="str">
            <v>Sobic.005G014000</v>
          </cell>
          <cell r="I79" t="str">
            <v>Ancestral (N0)</v>
          </cell>
        </row>
        <row r="80">
          <cell r="G80" t="str">
            <v>Sobic.008G029000</v>
          </cell>
          <cell r="I80" t="str">
            <v>Ancestral (N0)</v>
          </cell>
        </row>
        <row r="81">
          <cell r="G81" t="str">
            <v>GRMZM2G169564</v>
          </cell>
          <cell r="I81" t="str">
            <v>Ancestral (N0)</v>
          </cell>
        </row>
        <row r="82">
          <cell r="G82" t="str">
            <v>BGIOSGA036756</v>
          </cell>
          <cell r="I82" t="str">
            <v>Gene-level</v>
          </cell>
        </row>
        <row r="83">
          <cell r="G83" t="str">
            <v>BGIOSGA034612</v>
          </cell>
          <cell r="I83" t="str">
            <v>Gene-level</v>
          </cell>
        </row>
        <row r="84">
          <cell r="G84" t="str">
            <v>Sobic.005G014000</v>
          </cell>
          <cell r="I84" t="str">
            <v>Gene-level</v>
          </cell>
        </row>
        <row r="85">
          <cell r="G85" t="str">
            <v>Sobic.008G029000</v>
          </cell>
          <cell r="I85" t="str">
            <v>Gene-level</v>
          </cell>
        </row>
        <row r="86">
          <cell r="G86" t="str">
            <v>Sobic.007G217700</v>
          </cell>
          <cell r="I86" t="str">
            <v>Isoform-only</v>
          </cell>
        </row>
        <row r="87">
          <cell r="G87" t="str">
            <v>Sobic.007G217700</v>
          </cell>
          <cell r="I87" t="str">
            <v>Isoform-only</v>
          </cell>
        </row>
        <row r="88">
          <cell r="G88" t="str">
            <v>Sobic.007G217700</v>
          </cell>
          <cell r="I88" t="str">
            <v>Isoform-only</v>
          </cell>
        </row>
        <row r="89">
          <cell r="G89" t="str">
            <v>Sobic.007G217700</v>
          </cell>
          <cell r="I89" t="str">
            <v>Isoform-only</v>
          </cell>
        </row>
        <row r="90">
          <cell r="G90" t="str">
            <v>Sobic.007G217700</v>
          </cell>
          <cell r="I90" t="str">
            <v>Isoform-only</v>
          </cell>
        </row>
        <row r="91">
          <cell r="G91" t="str">
            <v>Sobic.007G217700</v>
          </cell>
          <cell r="I91" t="str">
            <v>Isoform-only</v>
          </cell>
        </row>
        <row r="92">
          <cell r="G92" t="str">
            <v>Sobic.007G217700</v>
          </cell>
          <cell r="I92" t="str">
            <v>Isoform-only</v>
          </cell>
        </row>
        <row r="93">
          <cell r="G93" t="str">
            <v>Sobic.007G217700</v>
          </cell>
          <cell r="I93" t="str">
            <v>Isoform-only</v>
          </cell>
        </row>
        <row r="94">
          <cell r="G94" t="str">
            <v>Sobic.007G217700</v>
          </cell>
          <cell r="I94" t="str">
            <v>Isoform-only</v>
          </cell>
        </row>
        <row r="95">
          <cell r="G95" t="str">
            <v>Sobic.007G217700</v>
          </cell>
          <cell r="I95" t="str">
            <v>Isoform-only</v>
          </cell>
        </row>
        <row r="96">
          <cell r="G96" t="str">
            <v>Sobic.007G217700</v>
          </cell>
          <cell r="I96" t="str">
            <v>Isoform-only</v>
          </cell>
        </row>
        <row r="97">
          <cell r="G97" t="str">
            <v>Sobic.007G217700</v>
          </cell>
          <cell r="I97" t="str">
            <v>Isoform-only</v>
          </cell>
        </row>
        <row r="98">
          <cell r="G98" t="str">
            <v>Sobic.007G217700</v>
          </cell>
          <cell r="I98" t="str">
            <v>Isoform-only</v>
          </cell>
        </row>
        <row r="99">
          <cell r="G99" t="str">
            <v>Sobic.007G217700</v>
          </cell>
          <cell r="I99" t="str">
            <v>Isoform-only</v>
          </cell>
        </row>
        <row r="100">
          <cell r="G100" t="str">
            <v>Sobic.007G217700</v>
          </cell>
          <cell r="I100" t="str">
            <v>Isoform-only</v>
          </cell>
        </row>
        <row r="101">
          <cell r="G101" t="str">
            <v>Sobic.007G217700</v>
          </cell>
          <cell r="I101" t="str">
            <v>Isoform-only</v>
          </cell>
        </row>
        <row r="102">
          <cell r="G102" t="str">
            <v>Sobic.007G217700</v>
          </cell>
          <cell r="I102" t="str">
            <v>Isoform-only</v>
          </cell>
        </row>
        <row r="103">
          <cell r="G103" t="str">
            <v>Sobic.007G217700</v>
          </cell>
          <cell r="I103" t="str">
            <v>Isoform-only</v>
          </cell>
        </row>
        <row r="104">
          <cell r="G104" t="str">
            <v>Sobic.007G217700</v>
          </cell>
          <cell r="I104" t="str">
            <v>Isoform-only</v>
          </cell>
        </row>
        <row r="105">
          <cell r="G105" t="str">
            <v>Sobic.007G217700</v>
          </cell>
          <cell r="I105" t="str">
            <v>Isoform-only</v>
          </cell>
        </row>
        <row r="106">
          <cell r="G106" t="str">
            <v>Sobic.007G217700</v>
          </cell>
          <cell r="I106" t="str">
            <v>Isoform-only</v>
          </cell>
        </row>
        <row r="107">
          <cell r="G107" t="str">
            <v>Sobic.007G217700</v>
          </cell>
          <cell r="I107" t="str">
            <v>Isoform-only</v>
          </cell>
        </row>
        <row r="108">
          <cell r="G108" t="str">
            <v>Sobic.007G217700</v>
          </cell>
          <cell r="I108" t="str">
            <v>Isoform-only</v>
          </cell>
        </row>
        <row r="109">
          <cell r="G109" t="str">
            <v>Sobic.007G217700</v>
          </cell>
          <cell r="I109" t="str">
            <v>Isoform-only</v>
          </cell>
        </row>
        <row r="110">
          <cell r="G110" t="str">
            <v>Sobic.007G217700</v>
          </cell>
          <cell r="I110" t="str">
            <v>Isoform-only</v>
          </cell>
        </row>
        <row r="111">
          <cell r="G111" t="str">
            <v>GRMZM2G120320</v>
          </cell>
          <cell r="I111" t="str">
            <v>Ancestral (N0)</v>
          </cell>
        </row>
        <row r="112">
          <cell r="G112" t="str">
            <v>Sobic.004G065900</v>
          </cell>
          <cell r="I112" t="str">
            <v>Ancestral (N0)</v>
          </cell>
        </row>
        <row r="113">
          <cell r="G113" t="str">
            <v>BGIOSGA007670</v>
          </cell>
          <cell r="I113" t="str">
            <v>Ancestral (N0)</v>
          </cell>
        </row>
        <row r="114">
          <cell r="G114" t="str">
            <v>BGIOSGA020778</v>
          </cell>
          <cell r="I114" t="str">
            <v>Ancestral (N0)</v>
          </cell>
        </row>
        <row r="115">
          <cell r="G115" t="str">
            <v>Sobic.010G209200</v>
          </cell>
          <cell r="I115" t="str">
            <v>Ancestral (N0)</v>
          </cell>
        </row>
        <row r="116">
          <cell r="G116" t="str">
            <v>Sobic.010G209100</v>
          </cell>
          <cell r="I116" t="str">
            <v>Ancestral (N0)</v>
          </cell>
        </row>
        <row r="117">
          <cell r="G117" t="str">
            <v>GRMZM2G111711</v>
          </cell>
          <cell r="I117" t="str">
            <v>Ancestral (N0)</v>
          </cell>
        </row>
        <row r="118">
          <cell r="G118" t="str">
            <v>Sobic.010G209200</v>
          </cell>
          <cell r="I118" t="str">
            <v>Gene-level</v>
          </cell>
        </row>
        <row r="119">
          <cell r="G119" t="str">
            <v>Sobic.010G209100</v>
          </cell>
          <cell r="I119" t="str">
            <v>Gene-level</v>
          </cell>
        </row>
        <row r="120">
          <cell r="G120" t="str">
            <v>GRMZM2G163054</v>
          </cell>
          <cell r="I120" t="str">
            <v>Gene-level</v>
          </cell>
        </row>
        <row r="121">
          <cell r="G121" t="str">
            <v>GRMZM2G163054</v>
          </cell>
          <cell r="I121" t="str">
            <v>Gene-level</v>
          </cell>
        </row>
        <row r="122">
          <cell r="G122" t="str">
            <v>GRMZM2G163054</v>
          </cell>
          <cell r="I122" t="str">
            <v>Gene-level</v>
          </cell>
        </row>
        <row r="123">
          <cell r="G123" t="str">
            <v>GRMZM2G163054</v>
          </cell>
          <cell r="I123" t="str">
            <v>Gene-level</v>
          </cell>
        </row>
        <row r="124">
          <cell r="G124" t="str">
            <v>GRMZM2G057116</v>
          </cell>
          <cell r="I124" t="str">
            <v>Gene-level</v>
          </cell>
        </row>
        <row r="125">
          <cell r="G125" t="str">
            <v>GRMZM2G163054</v>
          </cell>
          <cell r="I125" t="str">
            <v>Isoform-only</v>
          </cell>
        </row>
        <row r="126">
          <cell r="G126" t="str">
            <v>GRMZM2G163054</v>
          </cell>
          <cell r="I126" t="str">
            <v>Isoform-only</v>
          </cell>
        </row>
        <row r="127">
          <cell r="G127" t="str">
            <v>GRMZM2G163054</v>
          </cell>
          <cell r="I127" t="str">
            <v>Isoform-only</v>
          </cell>
        </row>
        <row r="128">
          <cell r="G128" t="str">
            <v>GRMZM2G163054</v>
          </cell>
          <cell r="I128" t="str">
            <v>Isoform-only</v>
          </cell>
        </row>
        <row r="129">
          <cell r="G129" t="str">
            <v>GRMZM2G163054</v>
          </cell>
          <cell r="I129" t="str">
            <v>Isoform-only</v>
          </cell>
        </row>
        <row r="130">
          <cell r="G130" t="str">
            <v>GRMZM2G163054</v>
          </cell>
          <cell r="I130" t="str">
            <v>Isoform-only</v>
          </cell>
        </row>
        <row r="131">
          <cell r="G131" t="str">
            <v>GRMZM2G163054</v>
          </cell>
          <cell r="I131" t="str">
            <v>Isoform-only</v>
          </cell>
        </row>
        <row r="132">
          <cell r="G132" t="str">
            <v>GRMZM2G163054</v>
          </cell>
          <cell r="I132" t="str">
            <v>Isoform-only</v>
          </cell>
        </row>
        <row r="133">
          <cell r="G133" t="str">
            <v>GRMZM2G163054</v>
          </cell>
          <cell r="I133" t="str">
            <v>Isoform-only</v>
          </cell>
        </row>
        <row r="134">
          <cell r="G134" t="str">
            <v>Sobic.009G100500</v>
          </cell>
          <cell r="I134" t="str">
            <v>Isoform-only</v>
          </cell>
        </row>
        <row r="135">
          <cell r="G135" t="str">
            <v>Sobic.009G100500</v>
          </cell>
          <cell r="I135" t="str">
            <v>Isoform-only</v>
          </cell>
        </row>
        <row r="136">
          <cell r="G136" t="str">
            <v>GRMZM2G012724</v>
          </cell>
          <cell r="I136" t="str">
            <v>Gene-level</v>
          </cell>
        </row>
        <row r="137">
          <cell r="G137" t="str">
            <v>GRMZM2G012724</v>
          </cell>
          <cell r="I137" t="str">
            <v>Gene-level</v>
          </cell>
        </row>
        <row r="138">
          <cell r="G138" t="str">
            <v>GRMZM2G012724</v>
          </cell>
          <cell r="I138" t="str">
            <v>Gene-level</v>
          </cell>
        </row>
        <row r="139">
          <cell r="G139" t="str">
            <v>GRMZM2G449681</v>
          </cell>
          <cell r="I139" t="str">
            <v>Gene-level</v>
          </cell>
        </row>
        <row r="140">
          <cell r="G140" t="str">
            <v>GRMZM2G012724</v>
          </cell>
          <cell r="I140" t="str">
            <v>Isoform-only</v>
          </cell>
        </row>
        <row r="141">
          <cell r="G141" t="str">
            <v>GRMZM2G012724</v>
          </cell>
          <cell r="I141" t="str">
            <v>Isoform-only</v>
          </cell>
        </row>
        <row r="142">
          <cell r="G142" t="str">
            <v>GRMZM2G012724</v>
          </cell>
          <cell r="I142" t="str">
            <v>Isoform-only</v>
          </cell>
        </row>
        <row r="143">
          <cell r="G143" t="str">
            <v>GRMZM2G012724</v>
          </cell>
          <cell r="I143" t="str">
            <v>Isoform-only</v>
          </cell>
        </row>
        <row r="144">
          <cell r="G144" t="str">
            <v>GRMZM2G012724</v>
          </cell>
          <cell r="I144" t="str">
            <v>Isoform-only</v>
          </cell>
        </row>
        <row r="145">
          <cell r="G145" t="str">
            <v>BGIOSGA036757</v>
          </cell>
          <cell r="I145" t="str">
            <v>Gene-level</v>
          </cell>
        </row>
        <row r="146">
          <cell r="G146" t="str">
            <v>BGIOSGA034613</v>
          </cell>
          <cell r="I146" t="str">
            <v>Gene-level</v>
          </cell>
        </row>
        <row r="147">
          <cell r="G147" t="str">
            <v>Sobic.005G013800</v>
          </cell>
          <cell r="I147" t="str">
            <v>Gene-level</v>
          </cell>
        </row>
        <row r="148">
          <cell r="G148" t="str">
            <v>Sobic.005G013800</v>
          </cell>
          <cell r="I148" t="str">
            <v>Gene-level</v>
          </cell>
        </row>
        <row r="149">
          <cell r="G149" t="str">
            <v>Sobic.008G028800</v>
          </cell>
          <cell r="I149" t="str">
            <v>Gene-level</v>
          </cell>
        </row>
        <row r="150">
          <cell r="G150" t="str">
            <v>Sobic.008G029200</v>
          </cell>
          <cell r="I150" t="str">
            <v>Gene-level</v>
          </cell>
        </row>
        <row r="151">
          <cell r="G151" t="str">
            <v>Sobic.005G013800</v>
          </cell>
          <cell r="I151" t="str">
            <v>Isoform-only</v>
          </cell>
        </row>
        <row r="152">
          <cell r="G152" t="str">
            <v>Sobic.005G013800</v>
          </cell>
          <cell r="I152" t="str">
            <v>Isoform-only</v>
          </cell>
        </row>
        <row r="153">
          <cell r="G153" t="str">
            <v>Sobic.008G028800</v>
          </cell>
          <cell r="I153" t="str">
            <v>Gene-level</v>
          </cell>
        </row>
        <row r="154">
          <cell r="G154" t="str">
            <v>Sobic.008G029200</v>
          </cell>
          <cell r="I154" t="str">
            <v>Gene-level</v>
          </cell>
        </row>
        <row r="155">
          <cell r="G155" t="str">
            <v>Sobic.003G000600</v>
          </cell>
          <cell r="I155" t="str">
            <v>Isoform-only</v>
          </cell>
        </row>
        <row r="156">
          <cell r="G156" t="str">
            <v>Sobic.003G000600</v>
          </cell>
          <cell r="I156" t="str">
            <v>Isoform-only</v>
          </cell>
        </row>
        <row r="157">
          <cell r="G157" t="str">
            <v>GRMZM5G871347</v>
          </cell>
          <cell r="I157" t="str">
            <v>Isoform-only</v>
          </cell>
        </row>
        <row r="158">
          <cell r="G158" t="str">
            <v>GRMZM5G871347</v>
          </cell>
          <cell r="I158" t="str">
            <v>Isoform-only</v>
          </cell>
        </row>
        <row r="159">
          <cell r="G159" t="str">
            <v>GRMZM5G871347</v>
          </cell>
          <cell r="I159" t="str">
            <v>Isoform-only</v>
          </cell>
        </row>
        <row r="160">
          <cell r="G160" t="str">
            <v>GRMZM5G871347</v>
          </cell>
          <cell r="I160" t="str">
            <v>Isoform-only</v>
          </cell>
        </row>
        <row r="161">
          <cell r="G161" t="str">
            <v>GRMZM5G871347</v>
          </cell>
          <cell r="I161" t="str">
            <v>Isoform-only</v>
          </cell>
        </row>
        <row r="162">
          <cell r="G162" t="str">
            <v>BGIOSGA004705</v>
          </cell>
          <cell r="I162" t="str">
            <v>Ancestral (N0)</v>
          </cell>
        </row>
        <row r="163">
          <cell r="G163" t="str">
            <v>GRMZM2G059562</v>
          </cell>
          <cell r="I163" t="str">
            <v>Ancestral (N0)</v>
          </cell>
        </row>
        <row r="164">
          <cell r="G164" t="str">
            <v>Sobic.003G337900</v>
          </cell>
          <cell r="I164" t="str">
            <v>Ancestral (N0)</v>
          </cell>
        </row>
        <row r="165">
          <cell r="G165" t="str">
            <v>GRMZM2G432583</v>
          </cell>
          <cell r="I165" t="str">
            <v>Ancestral (N0)</v>
          </cell>
        </row>
        <row r="166">
          <cell r="G166" t="str">
            <v>BGIOSGA017860</v>
          </cell>
          <cell r="I166" t="str">
            <v>Ancestral (N0)</v>
          </cell>
        </row>
        <row r="167">
          <cell r="G167" t="str">
            <v>BGIOSGA030346</v>
          </cell>
          <cell r="I167" t="str">
            <v>Ancestral (N0)</v>
          </cell>
        </row>
        <row r="168">
          <cell r="G168" t="str">
            <v>BGIOSGA017860</v>
          </cell>
          <cell r="I168" t="str">
            <v>Gene-level</v>
          </cell>
        </row>
        <row r="169">
          <cell r="G169" t="str">
            <v>BGIOSGA030346</v>
          </cell>
          <cell r="I169" t="str">
            <v>Gene-level</v>
          </cell>
        </row>
        <row r="170">
          <cell r="G170" t="str">
            <v>BGIOSGA004722</v>
          </cell>
          <cell r="I170" t="str">
            <v>Ancestral (N0)</v>
          </cell>
        </row>
        <row r="171">
          <cell r="G171" t="str">
            <v>Sobic.003G341100</v>
          </cell>
          <cell r="I171" t="str">
            <v>Ancestral (N0)</v>
          </cell>
        </row>
        <row r="172">
          <cell r="G172" t="str">
            <v>GRMZM2G148087</v>
          </cell>
          <cell r="I172" t="str">
            <v>Ancestral (N0)</v>
          </cell>
        </row>
        <row r="173">
          <cell r="G173" t="str">
            <v>BGIOSGA017876</v>
          </cell>
          <cell r="I173" t="str">
            <v>Ancestral (N0)</v>
          </cell>
        </row>
        <row r="174">
          <cell r="G174" t="str">
            <v>GRMZM2G169966</v>
          </cell>
          <cell r="I174" t="str">
            <v>Ancestral (N0)</v>
          </cell>
        </row>
        <row r="175">
          <cell r="G175" t="str">
            <v>Sobic.009G171600</v>
          </cell>
          <cell r="I175" t="str">
            <v>Ancestral (N0)</v>
          </cell>
        </row>
        <row r="176">
          <cell r="G176" t="str">
            <v>BGIOSGA010657</v>
          </cell>
          <cell r="I176" t="str">
            <v>Gene-level</v>
          </cell>
        </row>
        <row r="177">
          <cell r="G177" t="str">
            <v>BGIOSGA023966</v>
          </cell>
          <cell r="I177" t="str">
            <v>Gene-level</v>
          </cell>
        </row>
        <row r="178">
          <cell r="G178" t="str">
            <v>GRMZM2G425430</v>
          </cell>
          <cell r="I178" t="str">
            <v>Gene-level</v>
          </cell>
        </row>
        <row r="179">
          <cell r="G179" t="str">
            <v>GRMZM2G171428</v>
          </cell>
          <cell r="I179" t="str">
            <v>Gene-level</v>
          </cell>
        </row>
        <row r="180">
          <cell r="G180" t="str">
            <v>GRMZM2G171428</v>
          </cell>
          <cell r="I180" t="str">
            <v>Gene-level</v>
          </cell>
        </row>
        <row r="181">
          <cell r="G181" t="str">
            <v>GRMZM2G171428</v>
          </cell>
          <cell r="I181" t="str">
            <v>Isoform-only</v>
          </cell>
        </row>
        <row r="182">
          <cell r="G182" t="str">
            <v>GRMZM2G171428</v>
          </cell>
          <cell r="I182" t="str">
            <v>Isoform-only</v>
          </cell>
        </row>
        <row r="183">
          <cell r="G183" t="str">
            <v>BGIOSGA014175</v>
          </cell>
          <cell r="I183" t="str">
            <v>Gene-level</v>
          </cell>
        </row>
        <row r="184">
          <cell r="G184" t="str">
            <v>BGIOSGA027488</v>
          </cell>
          <cell r="I184" t="str">
            <v>Gene-level</v>
          </cell>
        </row>
        <row r="185">
          <cell r="G185" t="str">
            <v>BGIOSGA027492</v>
          </cell>
          <cell r="I185" t="str">
            <v>Gene-level</v>
          </cell>
        </row>
        <row r="186">
          <cell r="G186" t="str">
            <v>BGIOSGA027491</v>
          </cell>
          <cell r="I186" t="str">
            <v>Gene-level</v>
          </cell>
        </row>
        <row r="187">
          <cell r="G187" t="str">
            <v>BGIOSGA027489</v>
          </cell>
          <cell r="I187" t="str">
            <v>Gene-level</v>
          </cell>
        </row>
        <row r="188">
          <cell r="G188" t="str">
            <v>BGIOSGA027488</v>
          </cell>
          <cell r="I188" t="str">
            <v>Gene-level</v>
          </cell>
        </row>
        <row r="189">
          <cell r="G189" t="str">
            <v>BGIOSGA027492</v>
          </cell>
          <cell r="I189" t="str">
            <v>Gene-level</v>
          </cell>
        </row>
        <row r="190">
          <cell r="G190" t="str">
            <v>BGIOSGA027491</v>
          </cell>
          <cell r="I190" t="str">
            <v>Gene-level</v>
          </cell>
        </row>
        <row r="191">
          <cell r="G191" t="str">
            <v>BGIOSGA027489</v>
          </cell>
          <cell r="I191" t="str">
            <v>Gene-level</v>
          </cell>
        </row>
        <row r="192">
          <cell r="G192" t="str">
            <v>BGIOSGA027488</v>
          </cell>
          <cell r="I192" t="str">
            <v>Gene-level</v>
          </cell>
        </row>
        <row r="193">
          <cell r="G193" t="str">
            <v>BGIOSGA027492</v>
          </cell>
          <cell r="I193" t="str">
            <v>Gene-level</v>
          </cell>
        </row>
        <row r="194">
          <cell r="G194" t="str">
            <v>BGIOSGA027491</v>
          </cell>
          <cell r="I194" t="str">
            <v>Gene-level</v>
          </cell>
        </row>
        <row r="195">
          <cell r="G195" t="str">
            <v>BGIOSGA027492</v>
          </cell>
          <cell r="I195" t="str">
            <v>Gene-level</v>
          </cell>
        </row>
        <row r="196">
          <cell r="G196" t="str">
            <v>BGIOSGA027491</v>
          </cell>
          <cell r="I196" t="str">
            <v>Gene-level</v>
          </cell>
        </row>
        <row r="197">
          <cell r="G197" t="str">
            <v>Sobic.006G115700</v>
          </cell>
          <cell r="I197" t="str">
            <v>Isoform-only</v>
          </cell>
        </row>
        <row r="198">
          <cell r="G198" t="str">
            <v>Sobic.006G115700</v>
          </cell>
          <cell r="I198" t="str">
            <v>Isoform-only</v>
          </cell>
        </row>
        <row r="199">
          <cell r="G199" t="str">
            <v>GRMZM2G031963</v>
          </cell>
          <cell r="I199" t="str">
            <v>Gene-level</v>
          </cell>
        </row>
        <row r="200">
          <cell r="G200" t="str">
            <v>GRMZM5G816457</v>
          </cell>
          <cell r="I200" t="str">
            <v>Gene-level</v>
          </cell>
        </row>
        <row r="201">
          <cell r="G201" t="str">
            <v>GRMZM5G816457</v>
          </cell>
          <cell r="I201" t="str">
            <v>Gene-level</v>
          </cell>
        </row>
        <row r="202">
          <cell r="G202" t="str">
            <v>GRMZM5G816457</v>
          </cell>
          <cell r="I202" t="str">
            <v>Isoform-only</v>
          </cell>
        </row>
        <row r="203">
          <cell r="G203" t="str">
            <v>GRMZM5G816457</v>
          </cell>
          <cell r="I203" t="str">
            <v>Isoform-only</v>
          </cell>
        </row>
        <row r="204">
          <cell r="G204" t="str">
            <v>BGIOSGA029574</v>
          </cell>
          <cell r="I204" t="str">
            <v>Gene-level</v>
          </cell>
        </row>
        <row r="205">
          <cell r="G205" t="str">
            <v>BGIOSGA026734</v>
          </cell>
          <cell r="I205" t="str">
            <v>Gene-level</v>
          </cell>
        </row>
        <row r="206">
          <cell r="G206" t="str">
            <v>GRMZM2G151407</v>
          </cell>
          <cell r="I206" t="str">
            <v>Isoform-only</v>
          </cell>
        </row>
        <row r="207">
          <cell r="G207" t="str">
            <v>GRMZM2G151407</v>
          </cell>
          <cell r="I207" t="str">
            <v>Isoform-only</v>
          </cell>
        </row>
        <row r="208">
          <cell r="G208" t="str">
            <v>Sobic.002G242500</v>
          </cell>
          <cell r="I208" t="str">
            <v>Isoform-only</v>
          </cell>
        </row>
        <row r="209">
          <cell r="G209" t="str">
            <v>Sobic.002G242500</v>
          </cell>
          <cell r="I209" t="str">
            <v>Isoform-only</v>
          </cell>
        </row>
        <row r="210">
          <cell r="G210" t="str">
            <v>GRMZM2G163418</v>
          </cell>
          <cell r="I210" t="str">
            <v>Gene-level</v>
          </cell>
        </row>
        <row r="211">
          <cell r="G211" t="str">
            <v>GRMZM2G163418</v>
          </cell>
          <cell r="I211" t="str">
            <v>Gene-level</v>
          </cell>
        </row>
        <row r="212">
          <cell r="G212" t="str">
            <v>GRMZM2G061408</v>
          </cell>
          <cell r="I212" t="str">
            <v>Gene-level</v>
          </cell>
        </row>
        <row r="213">
          <cell r="G213" t="str">
            <v>GRMZM2G025895</v>
          </cell>
          <cell r="I213" t="str">
            <v>Gene-level</v>
          </cell>
        </row>
        <row r="214">
          <cell r="G214" t="str">
            <v>GRMZM2G163418</v>
          </cell>
          <cell r="I214" t="str">
            <v>Isoform-only</v>
          </cell>
        </row>
        <row r="215">
          <cell r="G215" t="str">
            <v>GRMZM2G163418</v>
          </cell>
          <cell r="I215" t="str">
            <v>Isoform-only</v>
          </cell>
        </row>
        <row r="216">
          <cell r="G216" t="str">
            <v>GRMZM2G061408</v>
          </cell>
          <cell r="I216" t="str">
            <v>Gene-level</v>
          </cell>
        </row>
        <row r="217">
          <cell r="G217" t="str">
            <v>GRMZM2G025895</v>
          </cell>
          <cell r="I217" t="str">
            <v>Gene-level</v>
          </cell>
        </row>
        <row r="218">
          <cell r="G218" t="str">
            <v>BGIOSGA035675</v>
          </cell>
          <cell r="I218" t="str">
            <v>Gene-level</v>
          </cell>
        </row>
        <row r="219">
          <cell r="G219" t="str">
            <v>BGIOSGA035677</v>
          </cell>
          <cell r="I219" t="str">
            <v>Gene-level</v>
          </cell>
        </row>
        <row r="220">
          <cell r="G220" t="str">
            <v>BGIOSGA033569</v>
          </cell>
          <cell r="I220" t="str">
            <v>Gene-level</v>
          </cell>
        </row>
        <row r="221">
          <cell r="G221" t="str">
            <v>BGIOSGA035677</v>
          </cell>
          <cell r="I221" t="str">
            <v>Gene-level</v>
          </cell>
        </row>
        <row r="222">
          <cell r="G222" t="str">
            <v>BGIOSGA033569</v>
          </cell>
          <cell r="I222" t="str">
            <v>Gene-level</v>
          </cell>
        </row>
        <row r="223">
          <cell r="G223" t="str">
            <v>Sobic.008G174100</v>
          </cell>
          <cell r="I223" t="str">
            <v>Isoform-only</v>
          </cell>
        </row>
        <row r="224">
          <cell r="G224" t="str">
            <v>Sobic.008G174100</v>
          </cell>
          <cell r="I224" t="str">
            <v>Isoform-only</v>
          </cell>
        </row>
        <row r="225">
          <cell r="G225" t="str">
            <v>Sobic.008G174100</v>
          </cell>
          <cell r="I225" t="str">
            <v>Isoform-only</v>
          </cell>
        </row>
        <row r="226">
          <cell r="G226" t="str">
            <v>Sobic.008G174100</v>
          </cell>
          <cell r="I226" t="str">
            <v>Isoform-only</v>
          </cell>
        </row>
        <row r="227">
          <cell r="G227" t="str">
            <v>Sobic.008G174100</v>
          </cell>
          <cell r="I227" t="str">
            <v>Isoform-only</v>
          </cell>
        </row>
        <row r="228">
          <cell r="G228" t="str">
            <v>BGIOSGA034616</v>
          </cell>
          <cell r="I228" t="str">
            <v>Gene-level</v>
          </cell>
        </row>
        <row r="229">
          <cell r="G229" t="str">
            <v>BGIOSGA036760</v>
          </cell>
          <cell r="I229" t="str">
            <v>Gene-level</v>
          </cell>
        </row>
        <row r="230">
          <cell r="G230" t="str">
            <v>Sobic.005G013400</v>
          </cell>
          <cell r="I230" t="str">
            <v>Gene-level</v>
          </cell>
        </row>
        <row r="231">
          <cell r="G231" t="str">
            <v>Sobic.005G013500</v>
          </cell>
          <cell r="I231" t="str">
            <v>Gene-level</v>
          </cell>
        </row>
        <row r="232">
          <cell r="G232" t="str">
            <v>GRMZM2G099593</v>
          </cell>
          <cell r="I232" t="str">
            <v>Gene-level</v>
          </cell>
        </row>
        <row r="233">
          <cell r="G233" t="str">
            <v>GRMZM2G461648</v>
          </cell>
          <cell r="I233" t="str">
            <v>Gene-level</v>
          </cell>
        </row>
        <row r="234">
          <cell r="G234" t="str">
            <v>BGIOSGA036825</v>
          </cell>
          <cell r="I234" t="str">
            <v>Gene-level</v>
          </cell>
        </row>
        <row r="235">
          <cell r="G235" t="str">
            <v>BGIOSGA036823</v>
          </cell>
          <cell r="I235" t="str">
            <v>Gene-level</v>
          </cell>
        </row>
        <row r="236">
          <cell r="G236" t="str">
            <v>GRMZM2G020254</v>
          </cell>
          <cell r="I236" t="str">
            <v>Isoform-only</v>
          </cell>
        </row>
        <row r="237">
          <cell r="G237" t="str">
            <v>GRMZM2G020254</v>
          </cell>
          <cell r="I237" t="str">
            <v>Isoform-only</v>
          </cell>
        </row>
        <row r="238">
          <cell r="G238" t="str">
            <v>GRMZM2G020254</v>
          </cell>
          <cell r="I238" t="str">
            <v>Isoform-only</v>
          </cell>
        </row>
        <row r="239">
          <cell r="G239" t="str">
            <v>GRMZM2G020254</v>
          </cell>
          <cell r="I239" t="str">
            <v>Isoform-only</v>
          </cell>
        </row>
        <row r="240">
          <cell r="G240" t="str">
            <v>GRMZM2G020254</v>
          </cell>
          <cell r="I240" t="str">
            <v>Isoform-only</v>
          </cell>
        </row>
        <row r="241">
          <cell r="G241" t="str">
            <v>GRMZM2G141299</v>
          </cell>
          <cell r="I241" t="str">
            <v>Isoform-only</v>
          </cell>
        </row>
        <row r="242">
          <cell r="G242" t="str">
            <v>GRMZM2G141299</v>
          </cell>
          <cell r="I242" t="str">
            <v>Isoform-only</v>
          </cell>
        </row>
        <row r="243">
          <cell r="G243" t="str">
            <v>GRMZM2G141299</v>
          </cell>
          <cell r="I243" t="str">
            <v>Isoform-only</v>
          </cell>
        </row>
        <row r="244">
          <cell r="G244" t="str">
            <v>GRMZM2G141299</v>
          </cell>
          <cell r="I244" t="str">
            <v>Isoform-only</v>
          </cell>
        </row>
        <row r="245">
          <cell r="G245" t="str">
            <v>GRMZM2G141299</v>
          </cell>
          <cell r="I245" t="str">
            <v>Isoform-only</v>
          </cell>
        </row>
        <row r="246">
          <cell r="G246" t="str">
            <v>BGIOSGA033505</v>
          </cell>
          <cell r="I246" t="str">
            <v>Gene-level</v>
          </cell>
        </row>
        <row r="247">
          <cell r="G247" t="str">
            <v>BGIOSGA008866</v>
          </cell>
          <cell r="I247" t="str">
            <v>Gene-level</v>
          </cell>
        </row>
        <row r="248">
          <cell r="G248" t="str">
            <v>BGIOSGA017037</v>
          </cell>
          <cell r="I248" t="str">
            <v>Gene-level</v>
          </cell>
        </row>
        <row r="249">
          <cell r="G249" t="str">
            <v>BGIOSGA033505</v>
          </cell>
          <cell r="I249" t="str">
            <v>Gene-level</v>
          </cell>
        </row>
        <row r="250">
          <cell r="G250" t="str">
            <v>BGIOSGA008866</v>
          </cell>
          <cell r="I250" t="str">
            <v>Gene-level</v>
          </cell>
        </row>
        <row r="251">
          <cell r="G251" t="str">
            <v>GRMZM2G147880</v>
          </cell>
          <cell r="I251" t="str">
            <v>Gene-level</v>
          </cell>
        </row>
        <row r="252">
          <cell r="G252" t="str">
            <v>GRMZM2G018487</v>
          </cell>
          <cell r="I252" t="str">
            <v>Gene-level</v>
          </cell>
        </row>
        <row r="253">
          <cell r="G253" t="str">
            <v>GRMZM2G018487</v>
          </cell>
          <cell r="I253" t="str">
            <v>Gene-level</v>
          </cell>
        </row>
        <row r="254">
          <cell r="G254" t="str">
            <v>GRMZM2G018487</v>
          </cell>
          <cell r="I254" t="str">
            <v>Isoform-only</v>
          </cell>
        </row>
        <row r="255">
          <cell r="G255" t="str">
            <v>GRMZM2G018487</v>
          </cell>
          <cell r="I255" t="str">
            <v>Isoform-only</v>
          </cell>
        </row>
        <row r="256">
          <cell r="G256" t="str">
            <v>Sobic.006G166300</v>
          </cell>
          <cell r="I256" t="str">
            <v>Isoform-only</v>
          </cell>
        </row>
        <row r="257">
          <cell r="G257" t="str">
            <v>Sobic.006G166300</v>
          </cell>
          <cell r="I257" t="str">
            <v>Isoform-only</v>
          </cell>
        </row>
        <row r="258">
          <cell r="G258" t="str">
            <v>GRMZM2G123387</v>
          </cell>
          <cell r="I258" t="str">
            <v>Isoform-only</v>
          </cell>
        </row>
        <row r="259">
          <cell r="G259" t="str">
            <v>GRMZM2G123387</v>
          </cell>
          <cell r="I259" t="str">
            <v>Isoform-only</v>
          </cell>
        </row>
        <row r="260">
          <cell r="G260" t="str">
            <v>GRMZM2G448605</v>
          </cell>
          <cell r="I260" t="str">
            <v>Gene-level</v>
          </cell>
        </row>
        <row r="261">
          <cell r="G261" t="str">
            <v>GRMZM2G366795</v>
          </cell>
          <cell r="I261" t="str">
            <v>Gene-level</v>
          </cell>
        </row>
        <row r="262">
          <cell r="G262" t="str">
            <v>GRMZM2G366795</v>
          </cell>
          <cell r="I262" t="str">
            <v>Gene-level</v>
          </cell>
        </row>
        <row r="263">
          <cell r="G263" t="str">
            <v>GRMZM2G366795</v>
          </cell>
          <cell r="I263" t="str">
            <v>Isoform-only</v>
          </cell>
        </row>
        <row r="264">
          <cell r="G264" t="str">
            <v>GRMZM2G366795</v>
          </cell>
          <cell r="I264" t="str">
            <v>Isoform-only</v>
          </cell>
        </row>
        <row r="265">
          <cell r="G265" t="str">
            <v>BGIOSGA030113</v>
          </cell>
          <cell r="I265" t="str">
            <v>Gene-level</v>
          </cell>
        </row>
        <row r="266">
          <cell r="G266" t="str">
            <v>BGIOSGA036755</v>
          </cell>
          <cell r="I266" t="str">
            <v>Gene-level</v>
          </cell>
        </row>
        <row r="267">
          <cell r="G267" t="str">
            <v>BGIOSGA034611</v>
          </cell>
          <cell r="I267" t="str">
            <v>Gene-level</v>
          </cell>
        </row>
        <row r="268">
          <cell r="G268" t="str">
            <v>BGIOSGA036755</v>
          </cell>
          <cell r="I268" t="str">
            <v>Gene-level</v>
          </cell>
        </row>
        <row r="269">
          <cell r="G269" t="str">
            <v>BGIOSGA034611</v>
          </cell>
          <cell r="I269" t="str">
            <v>Gene-level</v>
          </cell>
        </row>
        <row r="270">
          <cell r="G270" t="str">
            <v>Sobic.003G353000</v>
          </cell>
          <cell r="I270" t="str">
            <v>Isoform-only</v>
          </cell>
        </row>
        <row r="271">
          <cell r="G271" t="str">
            <v>Sobic.003G353000</v>
          </cell>
          <cell r="I271" t="str">
            <v>Isoform-only</v>
          </cell>
        </row>
        <row r="272">
          <cell r="G272" t="str">
            <v>Sobic.003G353000</v>
          </cell>
          <cell r="I272" t="str">
            <v>Isoform-only</v>
          </cell>
        </row>
        <row r="273">
          <cell r="G273" t="str">
            <v>Sobic.003G353000</v>
          </cell>
          <cell r="I273" t="str">
            <v>Isoform-only</v>
          </cell>
        </row>
        <row r="274">
          <cell r="G274" t="str">
            <v>Sobic.003G353000</v>
          </cell>
          <cell r="I274" t="str">
            <v>Isoform-only</v>
          </cell>
        </row>
        <row r="275">
          <cell r="G275" t="str">
            <v>GRMZM2G083350</v>
          </cell>
          <cell r="I275" t="str">
            <v>Gene-level</v>
          </cell>
        </row>
        <row r="276">
          <cell r="G276" t="str">
            <v>GRMZM2G176489</v>
          </cell>
          <cell r="I276" t="str">
            <v>Gene-level</v>
          </cell>
        </row>
        <row r="277">
          <cell r="G277" t="str">
            <v>GRMZM2G145554</v>
          </cell>
          <cell r="I277" t="str">
            <v>Gene-level</v>
          </cell>
        </row>
        <row r="278">
          <cell r="G278" t="str">
            <v>AC198725.4_FGP009</v>
          </cell>
          <cell r="I278" t="str">
            <v>Gene-level</v>
          </cell>
        </row>
        <row r="279">
          <cell r="G279" t="str">
            <v>GRMZM2G029292</v>
          </cell>
          <cell r="I279" t="str">
            <v>Isoform-only</v>
          </cell>
        </row>
        <row r="280">
          <cell r="G280" t="str">
            <v>GRMZM2G029292</v>
          </cell>
          <cell r="I280" t="str">
            <v>Isoform-only</v>
          </cell>
        </row>
        <row r="281">
          <cell r="G281" t="str">
            <v>BGIOSGA032700</v>
          </cell>
          <cell r="I281" t="str">
            <v>Gene-level</v>
          </cell>
        </row>
        <row r="282">
          <cell r="G282" t="str">
            <v>BGIOSGA004703</v>
          </cell>
          <cell r="I282" t="str">
            <v>Gene-level</v>
          </cell>
        </row>
        <row r="283">
          <cell r="G283" t="str">
            <v>GRMZM2G377217</v>
          </cell>
          <cell r="I283" t="str">
            <v>Isoform-only</v>
          </cell>
        </row>
        <row r="284">
          <cell r="G284" t="str">
            <v>GRMZM2G377217</v>
          </cell>
          <cell r="I284" t="str">
            <v>Isoform-only</v>
          </cell>
        </row>
        <row r="285">
          <cell r="G285" t="str">
            <v>GRMZM2G161411</v>
          </cell>
          <cell r="I285" t="str">
            <v>Gene-level</v>
          </cell>
        </row>
        <row r="286">
          <cell r="G286" t="str">
            <v>GRMZM2G149219</v>
          </cell>
          <cell r="I286" t="str">
            <v>Gene-level</v>
          </cell>
        </row>
        <row r="287">
          <cell r="G287" t="str">
            <v>BGIOSGA012525</v>
          </cell>
          <cell r="I287" t="str">
            <v>Gene-level</v>
          </cell>
        </row>
        <row r="288">
          <cell r="G288" t="str">
            <v>BGIOSGA012523</v>
          </cell>
          <cell r="I288" t="str">
            <v>Gene-level</v>
          </cell>
        </row>
        <row r="289">
          <cell r="G289" t="str">
            <v>Sobic.001G006600</v>
          </cell>
          <cell r="I289" t="str">
            <v>Isoform-only</v>
          </cell>
        </row>
        <row r="290">
          <cell r="G290" t="str">
            <v>Sobic.001G006600</v>
          </cell>
          <cell r="I290" t="str">
            <v>Isoform-only</v>
          </cell>
        </row>
        <row r="291">
          <cell r="G291" t="str">
            <v>GRMZM2G156529</v>
          </cell>
          <cell r="I291" t="str">
            <v>Gene-level</v>
          </cell>
        </row>
        <row r="292">
          <cell r="G292" t="str">
            <v>GRMZM2G006497</v>
          </cell>
          <cell r="I292" t="str">
            <v>Gene-level</v>
          </cell>
        </row>
        <row r="293">
          <cell r="G293" t="str">
            <v>Sobic.010G035300</v>
          </cell>
          <cell r="I293" t="str">
            <v>Isoform-only</v>
          </cell>
        </row>
        <row r="294">
          <cell r="G294" t="str">
            <v>Sobic.010G035300</v>
          </cell>
          <cell r="I294" t="str">
            <v>Isoform-only</v>
          </cell>
        </row>
        <row r="295">
          <cell r="G295" t="str">
            <v>Sobic.002G202800</v>
          </cell>
          <cell r="I295" t="str">
            <v>Isoform-only</v>
          </cell>
        </row>
        <row r="296">
          <cell r="G296" t="str">
            <v>Sobic.002G202800</v>
          </cell>
          <cell r="I296" t="str">
            <v>Isoform-only</v>
          </cell>
        </row>
        <row r="297">
          <cell r="G297" t="str">
            <v>GRMZM2G125653</v>
          </cell>
          <cell r="I297" t="str">
            <v>Isoform-only</v>
          </cell>
        </row>
        <row r="298">
          <cell r="G298" t="str">
            <v>GRMZM2G125653</v>
          </cell>
          <cell r="I298" t="str">
            <v>Isoform-only</v>
          </cell>
        </row>
        <row r="299">
          <cell r="G299" t="str">
            <v>GRMZM2G106560</v>
          </cell>
          <cell r="I299" t="str">
            <v>Gene-level</v>
          </cell>
        </row>
        <row r="300">
          <cell r="G300" t="str">
            <v>GRMZM2G054125</v>
          </cell>
          <cell r="I300" t="str">
            <v>Gene-level</v>
          </cell>
        </row>
        <row r="301">
          <cell r="G301" t="str">
            <v>GRMZM2G173680</v>
          </cell>
          <cell r="I301" t="str">
            <v>Isoform-only</v>
          </cell>
        </row>
        <row r="302">
          <cell r="G302" t="str">
            <v>GRMZM2G173680</v>
          </cell>
          <cell r="I302" t="str">
            <v>Isoform-only</v>
          </cell>
        </row>
        <row r="303">
          <cell r="G303" t="str">
            <v>GRMZM2G324999</v>
          </cell>
          <cell r="I303" t="str">
            <v>Gene-level</v>
          </cell>
        </row>
        <row r="304">
          <cell r="G304" t="str">
            <v>AC205562.3_FGP002</v>
          </cell>
          <cell r="I304" t="str">
            <v>Gene-level</v>
          </cell>
        </row>
        <row r="305">
          <cell r="G305" t="str">
            <v>GRMZM2G143204</v>
          </cell>
          <cell r="I305" t="str">
            <v>Isoform-only</v>
          </cell>
        </row>
        <row r="306">
          <cell r="G306" t="str">
            <v>GRMZM2G143204</v>
          </cell>
          <cell r="I306" t="str">
            <v>Isoform-only</v>
          </cell>
        </row>
        <row r="307">
          <cell r="G307" t="str">
            <v>GRMZM2G143204</v>
          </cell>
          <cell r="I307" t="str">
            <v>Isoform-only</v>
          </cell>
        </row>
        <row r="308">
          <cell r="G308" t="str">
            <v>GRMZM2G143204</v>
          </cell>
          <cell r="I308" t="str">
            <v>Isoform-only</v>
          </cell>
        </row>
        <row r="309">
          <cell r="G309" t="str">
            <v>GRMZM2G143204</v>
          </cell>
          <cell r="I309" t="str">
            <v>Isoform-only</v>
          </cell>
        </row>
        <row r="310">
          <cell r="G310" t="str">
            <v>Sobic.001G282400</v>
          </cell>
          <cell r="I310" t="str">
            <v>Isoform-only</v>
          </cell>
        </row>
        <row r="311">
          <cell r="G311" t="str">
            <v>Sobic.001G282400</v>
          </cell>
          <cell r="I311" t="str">
            <v>Isoform-only</v>
          </cell>
        </row>
        <row r="312">
          <cell r="G312" t="str">
            <v>Sobic.001G282400</v>
          </cell>
          <cell r="I312" t="str">
            <v>Isoform-only</v>
          </cell>
        </row>
        <row r="313">
          <cell r="G313" t="str">
            <v>Sobic.001G282400</v>
          </cell>
          <cell r="I313" t="str">
            <v>Isoform-only</v>
          </cell>
        </row>
        <row r="314">
          <cell r="G314" t="str">
            <v>Sobic.001G282400</v>
          </cell>
          <cell r="I314" t="str">
            <v>Isoform-only</v>
          </cell>
        </row>
        <row r="315">
          <cell r="G315" t="str">
            <v>Sobic.002G104400</v>
          </cell>
          <cell r="I315" t="str">
            <v>Isoform-only</v>
          </cell>
        </row>
        <row r="316">
          <cell r="G316" t="str">
            <v>Sobic.002G104400</v>
          </cell>
          <cell r="I316" t="str">
            <v>Isoform-only</v>
          </cell>
        </row>
        <row r="317">
          <cell r="G317" t="str">
            <v>Sobic.002G104400</v>
          </cell>
          <cell r="I317" t="str">
            <v>Isoform-only</v>
          </cell>
        </row>
        <row r="318">
          <cell r="G318" t="str">
            <v>Sobic.002G104400</v>
          </cell>
          <cell r="I318" t="str">
            <v>Isoform-only</v>
          </cell>
        </row>
        <row r="319">
          <cell r="G319" t="str">
            <v>Sobic.002G104400</v>
          </cell>
          <cell r="I319" t="str">
            <v>Isoform-only</v>
          </cell>
        </row>
        <row r="320">
          <cell r="G320" t="str">
            <v>Sobic.002G104400</v>
          </cell>
          <cell r="I320" t="str">
            <v>Isoform-only</v>
          </cell>
        </row>
        <row r="321">
          <cell r="G321" t="str">
            <v>Sobic.002G104400</v>
          </cell>
          <cell r="I321" t="str">
            <v>Isoform-only</v>
          </cell>
        </row>
        <row r="322">
          <cell r="G322" t="str">
            <v>Sobic.002G104400</v>
          </cell>
          <cell r="I322" t="str">
            <v>Isoform-only</v>
          </cell>
        </row>
        <row r="323">
          <cell r="G323" t="str">
            <v>Sobic.002G104400</v>
          </cell>
          <cell r="I323" t="str">
            <v>Isoform-only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79AE6-FEB7-594B-B3E5-CCD4E11516C1}">
  <dimension ref="A1:D94"/>
  <sheetViews>
    <sheetView workbookViewId="0">
      <selection activeCell="E9" sqref="E9"/>
    </sheetView>
  </sheetViews>
  <sheetFormatPr baseColWidth="10" defaultRowHeight="16" x14ac:dyDescent="0.2"/>
  <cols>
    <col min="1" max="1" width="10.83203125" style="1"/>
    <col min="2" max="2" width="45.33203125" style="1" customWidth="1"/>
    <col min="3" max="3" width="41.33203125" style="1" customWidth="1"/>
    <col min="4" max="4" width="57.83203125" style="1" customWidth="1"/>
    <col min="5" max="5" width="21.1640625" style="1" customWidth="1"/>
    <col min="6" max="16384" width="10.83203125" style="1"/>
  </cols>
  <sheetData>
    <row r="1" spans="1:4" x14ac:dyDescent="0.2">
      <c r="A1" s="1" t="s">
        <v>328</v>
      </c>
    </row>
    <row r="3" spans="1:4" ht="17" x14ac:dyDescent="0.2">
      <c r="A3" s="11" t="s">
        <v>0</v>
      </c>
      <c r="B3" s="11" t="s">
        <v>1</v>
      </c>
      <c r="C3" s="11" t="s">
        <v>2</v>
      </c>
      <c r="D3" s="11" t="s">
        <v>3</v>
      </c>
    </row>
    <row r="4" spans="1:4" ht="34" x14ac:dyDescent="0.2">
      <c r="A4" s="2" t="s">
        <v>4</v>
      </c>
      <c r="B4" s="2" t="s">
        <v>5</v>
      </c>
      <c r="C4" s="2" t="s">
        <v>6</v>
      </c>
      <c r="D4" s="2" t="s">
        <v>7</v>
      </c>
    </row>
    <row r="5" spans="1:4" ht="68" x14ac:dyDescent="0.2">
      <c r="A5" s="2" t="s">
        <v>8</v>
      </c>
      <c r="B5" s="2" t="s">
        <v>9</v>
      </c>
      <c r="C5" s="2" t="s">
        <v>10</v>
      </c>
      <c r="D5" s="2" t="s">
        <v>11</v>
      </c>
    </row>
    <row r="6" spans="1:4" ht="34" x14ac:dyDescent="0.2">
      <c r="A6" s="2" t="s">
        <v>12</v>
      </c>
      <c r="B6" s="2" t="s">
        <v>13</v>
      </c>
      <c r="C6" s="2" t="s">
        <v>14</v>
      </c>
      <c r="D6" s="2" t="s">
        <v>15</v>
      </c>
    </row>
    <row r="7" spans="1:4" ht="34" x14ac:dyDescent="0.2">
      <c r="A7" s="2" t="s">
        <v>16</v>
      </c>
      <c r="B7" s="2" t="s">
        <v>17</v>
      </c>
      <c r="C7" s="2" t="s">
        <v>18</v>
      </c>
      <c r="D7" s="2" t="s">
        <v>19</v>
      </c>
    </row>
    <row r="8" spans="1:4" ht="34" x14ac:dyDescent="0.2">
      <c r="A8" s="2" t="s">
        <v>20</v>
      </c>
      <c r="B8" s="2" t="s">
        <v>21</v>
      </c>
      <c r="C8" s="2" t="s">
        <v>22</v>
      </c>
      <c r="D8" s="2" t="s">
        <v>23</v>
      </c>
    </row>
    <row r="9" spans="1:4" ht="68" x14ac:dyDescent="0.2">
      <c r="A9" s="2" t="s">
        <v>24</v>
      </c>
      <c r="B9" s="12"/>
      <c r="C9" s="2" t="s">
        <v>25</v>
      </c>
      <c r="D9" s="2" t="s">
        <v>26</v>
      </c>
    </row>
    <row r="10" spans="1:4" ht="34" x14ac:dyDescent="0.2">
      <c r="A10" s="2" t="s">
        <v>27</v>
      </c>
      <c r="B10" s="2" t="s">
        <v>28</v>
      </c>
      <c r="C10" s="2" t="s">
        <v>29</v>
      </c>
      <c r="D10" s="2" t="s">
        <v>30</v>
      </c>
    </row>
    <row r="11" spans="1:4" ht="51" x14ac:dyDescent="0.2">
      <c r="A11" s="2" t="s">
        <v>31</v>
      </c>
      <c r="B11" s="2" t="s">
        <v>32</v>
      </c>
      <c r="C11" s="2" t="s">
        <v>33</v>
      </c>
      <c r="D11" s="2" t="s">
        <v>34</v>
      </c>
    </row>
    <row r="12" spans="1:4" ht="34" x14ac:dyDescent="0.2">
      <c r="A12" s="2" t="s">
        <v>35</v>
      </c>
      <c r="B12" s="2" t="s">
        <v>36</v>
      </c>
      <c r="C12" s="2" t="s">
        <v>37</v>
      </c>
      <c r="D12" s="2" t="s">
        <v>38</v>
      </c>
    </row>
    <row r="13" spans="1:4" ht="34" x14ac:dyDescent="0.2">
      <c r="A13" s="2" t="s">
        <v>39</v>
      </c>
      <c r="B13" s="2" t="s">
        <v>40</v>
      </c>
      <c r="C13" s="2" t="s">
        <v>41</v>
      </c>
      <c r="D13" s="2" t="s">
        <v>42</v>
      </c>
    </row>
    <row r="14" spans="1:4" ht="34" x14ac:dyDescent="0.2">
      <c r="A14" s="2" t="s">
        <v>43</v>
      </c>
      <c r="B14" s="2" t="s">
        <v>44</v>
      </c>
      <c r="C14" s="2" t="s">
        <v>45</v>
      </c>
      <c r="D14" s="2" t="s">
        <v>46</v>
      </c>
    </row>
    <row r="15" spans="1:4" ht="34" x14ac:dyDescent="0.2">
      <c r="A15" s="2" t="s">
        <v>47</v>
      </c>
      <c r="B15" s="2" t="s">
        <v>48</v>
      </c>
      <c r="C15" s="2" t="s">
        <v>49</v>
      </c>
      <c r="D15" s="2" t="s">
        <v>50</v>
      </c>
    </row>
    <row r="16" spans="1:4" ht="17" x14ac:dyDescent="0.2">
      <c r="A16" s="2" t="s">
        <v>51</v>
      </c>
      <c r="B16" s="2" t="s">
        <v>52</v>
      </c>
      <c r="C16" s="2" t="s">
        <v>53</v>
      </c>
      <c r="D16" s="2" t="s">
        <v>54</v>
      </c>
    </row>
    <row r="17" spans="1:4" ht="34" x14ac:dyDescent="0.2">
      <c r="A17" s="2" t="s">
        <v>55</v>
      </c>
      <c r="B17" s="2" t="s">
        <v>56</v>
      </c>
      <c r="C17" s="2" t="s">
        <v>57</v>
      </c>
      <c r="D17" s="2" t="s">
        <v>58</v>
      </c>
    </row>
    <row r="18" spans="1:4" ht="51" x14ac:dyDescent="0.2">
      <c r="A18" s="2" t="s">
        <v>59</v>
      </c>
      <c r="B18" s="2" t="s">
        <v>60</v>
      </c>
      <c r="C18" s="2" t="s">
        <v>61</v>
      </c>
      <c r="D18" s="12"/>
    </row>
    <row r="19" spans="1:4" ht="34" x14ac:dyDescent="0.2">
      <c r="A19" s="2" t="s">
        <v>62</v>
      </c>
      <c r="B19" s="2" t="s">
        <v>63</v>
      </c>
      <c r="C19" s="2" t="s">
        <v>64</v>
      </c>
      <c r="D19" s="2" t="s">
        <v>65</v>
      </c>
    </row>
    <row r="20" spans="1:4" ht="17" x14ac:dyDescent="0.2">
      <c r="A20" s="2" t="s">
        <v>66</v>
      </c>
      <c r="B20" s="2" t="s">
        <v>67</v>
      </c>
      <c r="C20" s="2" t="s">
        <v>68</v>
      </c>
      <c r="D20" s="2" t="s">
        <v>69</v>
      </c>
    </row>
    <row r="21" spans="1:4" ht="34" x14ac:dyDescent="0.2">
      <c r="A21" s="2" t="s">
        <v>70</v>
      </c>
      <c r="B21" s="2" t="s">
        <v>71</v>
      </c>
      <c r="C21" s="2" t="s">
        <v>72</v>
      </c>
      <c r="D21" s="2" t="s">
        <v>73</v>
      </c>
    </row>
    <row r="22" spans="1:4" ht="34" x14ac:dyDescent="0.2">
      <c r="A22" s="2" t="s">
        <v>74</v>
      </c>
      <c r="B22" s="2" t="s">
        <v>75</v>
      </c>
      <c r="C22" s="2" t="s">
        <v>76</v>
      </c>
      <c r="D22" s="2"/>
    </row>
    <row r="23" spans="1:4" ht="17" x14ac:dyDescent="0.2">
      <c r="A23" s="2" t="s">
        <v>77</v>
      </c>
      <c r="B23" s="2" t="s">
        <v>78</v>
      </c>
      <c r="C23" s="2" t="s">
        <v>79</v>
      </c>
      <c r="D23" s="2" t="s">
        <v>80</v>
      </c>
    </row>
    <row r="24" spans="1:4" ht="34" x14ac:dyDescent="0.2">
      <c r="A24" s="2" t="s">
        <v>81</v>
      </c>
      <c r="B24" s="2" t="s">
        <v>82</v>
      </c>
      <c r="C24" s="2" t="s">
        <v>83</v>
      </c>
      <c r="D24" s="2" t="s">
        <v>84</v>
      </c>
    </row>
    <row r="25" spans="1:4" ht="34" x14ac:dyDescent="0.2">
      <c r="A25" s="2" t="s">
        <v>85</v>
      </c>
      <c r="B25" s="2" t="s">
        <v>86</v>
      </c>
      <c r="C25" s="2" t="s">
        <v>87</v>
      </c>
      <c r="D25" s="2" t="s">
        <v>88</v>
      </c>
    </row>
    <row r="26" spans="1:4" ht="34" x14ac:dyDescent="0.2">
      <c r="A26" s="2" t="s">
        <v>89</v>
      </c>
      <c r="B26" s="2" t="s">
        <v>90</v>
      </c>
      <c r="C26" s="2" t="s">
        <v>91</v>
      </c>
      <c r="D26" s="2" t="s">
        <v>92</v>
      </c>
    </row>
    <row r="27" spans="1:4" ht="34" x14ac:dyDescent="0.2">
      <c r="A27" s="2" t="s">
        <v>93</v>
      </c>
      <c r="B27" s="2" t="s">
        <v>94</v>
      </c>
      <c r="C27" s="2" t="s">
        <v>95</v>
      </c>
      <c r="D27" s="2" t="s">
        <v>96</v>
      </c>
    </row>
    <row r="28" spans="1:4" ht="17" x14ac:dyDescent="0.2">
      <c r="A28" s="2" t="s">
        <v>97</v>
      </c>
      <c r="B28" s="2" t="s">
        <v>98</v>
      </c>
      <c r="C28" s="2" t="s">
        <v>99</v>
      </c>
      <c r="D28" s="2" t="s">
        <v>100</v>
      </c>
    </row>
    <row r="29" spans="1:4" ht="34" x14ac:dyDescent="0.2">
      <c r="A29" s="2" t="s">
        <v>101</v>
      </c>
      <c r="B29" s="2" t="s">
        <v>102</v>
      </c>
      <c r="C29" s="2" t="s">
        <v>103</v>
      </c>
      <c r="D29" s="2" t="s">
        <v>104</v>
      </c>
    </row>
    <row r="30" spans="1:4" ht="34" x14ac:dyDescent="0.2">
      <c r="A30" s="2" t="s">
        <v>105</v>
      </c>
      <c r="B30" s="2" t="s">
        <v>106</v>
      </c>
      <c r="C30" s="2" t="s">
        <v>107</v>
      </c>
      <c r="D30" s="2" t="s">
        <v>108</v>
      </c>
    </row>
    <row r="31" spans="1:4" ht="34" x14ac:dyDescent="0.2">
      <c r="A31" s="2" t="s">
        <v>109</v>
      </c>
      <c r="B31" s="2" t="s">
        <v>110</v>
      </c>
      <c r="C31" s="2" t="s">
        <v>111</v>
      </c>
      <c r="D31" s="2"/>
    </row>
    <row r="32" spans="1:4" ht="17" x14ac:dyDescent="0.2">
      <c r="A32" s="2" t="s">
        <v>112</v>
      </c>
      <c r="B32" s="2" t="s">
        <v>113</v>
      </c>
      <c r="C32" s="2" t="s">
        <v>114</v>
      </c>
      <c r="D32" s="2" t="s">
        <v>115</v>
      </c>
    </row>
    <row r="33" spans="1:4" ht="17" x14ac:dyDescent="0.2">
      <c r="A33" s="2" t="s">
        <v>116</v>
      </c>
      <c r="B33" s="2" t="s">
        <v>117</v>
      </c>
      <c r="C33" s="2" t="s">
        <v>118</v>
      </c>
      <c r="D33" s="2" t="s">
        <v>119</v>
      </c>
    </row>
    <row r="34" spans="1:4" ht="17" x14ac:dyDescent="0.2">
      <c r="A34" s="2" t="s">
        <v>120</v>
      </c>
      <c r="B34" s="2" t="s">
        <v>121</v>
      </c>
      <c r="C34" s="2" t="s">
        <v>122</v>
      </c>
      <c r="D34" s="2" t="s">
        <v>123</v>
      </c>
    </row>
    <row r="35" spans="1:4" ht="17" x14ac:dyDescent="0.2">
      <c r="A35" s="2" t="s">
        <v>124</v>
      </c>
      <c r="B35" s="2" t="s">
        <v>125</v>
      </c>
      <c r="C35" s="2" t="s">
        <v>126</v>
      </c>
      <c r="D35" s="2" t="s">
        <v>127</v>
      </c>
    </row>
    <row r="36" spans="1:4" ht="17" x14ac:dyDescent="0.2">
      <c r="A36" s="2" t="s">
        <v>128</v>
      </c>
      <c r="B36" s="2" t="s">
        <v>129</v>
      </c>
      <c r="C36" s="2" t="s">
        <v>130</v>
      </c>
      <c r="D36" s="2" t="s">
        <v>131</v>
      </c>
    </row>
    <row r="37" spans="1:4" ht="17" x14ac:dyDescent="0.2">
      <c r="A37" s="2" t="s">
        <v>132</v>
      </c>
      <c r="B37" s="2" t="s">
        <v>133</v>
      </c>
      <c r="C37" s="2" t="s">
        <v>134</v>
      </c>
      <c r="D37" s="2" t="s">
        <v>135</v>
      </c>
    </row>
    <row r="38" spans="1:4" ht="17" x14ac:dyDescent="0.2">
      <c r="A38" s="2" t="s">
        <v>136</v>
      </c>
      <c r="B38" s="2" t="s">
        <v>137</v>
      </c>
      <c r="C38" s="2" t="s">
        <v>138</v>
      </c>
      <c r="D38" s="2" t="s">
        <v>139</v>
      </c>
    </row>
    <row r="39" spans="1:4" ht="17" x14ac:dyDescent="0.2">
      <c r="A39" s="2" t="s">
        <v>140</v>
      </c>
      <c r="B39" s="2" t="s">
        <v>141</v>
      </c>
      <c r="C39" s="2" t="s">
        <v>142</v>
      </c>
      <c r="D39" s="2" t="s">
        <v>143</v>
      </c>
    </row>
    <row r="40" spans="1:4" ht="17" x14ac:dyDescent="0.2">
      <c r="A40" s="2" t="s">
        <v>144</v>
      </c>
      <c r="B40" s="2" t="s">
        <v>145</v>
      </c>
      <c r="C40" s="2" t="s">
        <v>146</v>
      </c>
      <c r="D40" s="2" t="s">
        <v>147</v>
      </c>
    </row>
    <row r="41" spans="1:4" ht="17" x14ac:dyDescent="0.2">
      <c r="A41" s="2" t="s">
        <v>148</v>
      </c>
      <c r="B41" s="2" t="s">
        <v>149</v>
      </c>
      <c r="C41" s="2" t="s">
        <v>150</v>
      </c>
      <c r="D41" s="2" t="s">
        <v>151</v>
      </c>
    </row>
    <row r="42" spans="1:4" ht="17" x14ac:dyDescent="0.2">
      <c r="A42" s="2" t="s">
        <v>152</v>
      </c>
      <c r="B42" s="2" t="s">
        <v>153</v>
      </c>
      <c r="C42" s="2" t="s">
        <v>154</v>
      </c>
      <c r="D42" s="2" t="s">
        <v>155</v>
      </c>
    </row>
    <row r="43" spans="1:4" ht="17" x14ac:dyDescent="0.2">
      <c r="A43" s="2" t="s">
        <v>156</v>
      </c>
      <c r="B43" s="2" t="s">
        <v>157</v>
      </c>
      <c r="C43" s="2" t="s">
        <v>158</v>
      </c>
      <c r="D43" s="2" t="s">
        <v>159</v>
      </c>
    </row>
    <row r="44" spans="1:4" ht="17" x14ac:dyDescent="0.2">
      <c r="A44" s="2" t="s">
        <v>160</v>
      </c>
      <c r="B44" s="2" t="s">
        <v>161</v>
      </c>
      <c r="C44" s="2" t="s">
        <v>162</v>
      </c>
      <c r="D44" s="2" t="s">
        <v>163</v>
      </c>
    </row>
    <row r="45" spans="1:4" ht="17" x14ac:dyDescent="0.2">
      <c r="A45" s="2" t="s">
        <v>164</v>
      </c>
      <c r="B45" s="2" t="s">
        <v>165</v>
      </c>
      <c r="C45" s="2" t="s">
        <v>166</v>
      </c>
      <c r="D45" s="2" t="s">
        <v>167</v>
      </c>
    </row>
    <row r="46" spans="1:4" ht="17" x14ac:dyDescent="0.2">
      <c r="A46" s="2" t="s">
        <v>168</v>
      </c>
      <c r="B46" s="2" t="s">
        <v>169</v>
      </c>
      <c r="C46" s="2" t="s">
        <v>170</v>
      </c>
      <c r="D46" s="2" t="s">
        <v>171</v>
      </c>
    </row>
    <row r="47" spans="1:4" ht="34" x14ac:dyDescent="0.2">
      <c r="A47" s="2" t="s">
        <v>172</v>
      </c>
      <c r="B47" s="12"/>
      <c r="C47" s="2" t="s">
        <v>173</v>
      </c>
      <c r="D47" s="2" t="s">
        <v>174</v>
      </c>
    </row>
    <row r="48" spans="1:4" ht="34" x14ac:dyDescent="0.2">
      <c r="A48" s="2" t="s">
        <v>175</v>
      </c>
      <c r="B48" s="12"/>
      <c r="C48" s="2" t="s">
        <v>176</v>
      </c>
      <c r="D48" s="2" t="s">
        <v>177</v>
      </c>
    </row>
    <row r="49" spans="1:4" ht="34" x14ac:dyDescent="0.2">
      <c r="A49" s="2" t="s">
        <v>178</v>
      </c>
      <c r="B49" s="12"/>
      <c r="C49" s="2" t="s">
        <v>179</v>
      </c>
      <c r="D49" s="2"/>
    </row>
    <row r="50" spans="1:4" ht="17" x14ac:dyDescent="0.2">
      <c r="A50" s="2" t="s">
        <v>180</v>
      </c>
      <c r="B50" s="2" t="s">
        <v>181</v>
      </c>
      <c r="C50" s="2" t="s">
        <v>182</v>
      </c>
      <c r="D50" s="2" t="s">
        <v>183</v>
      </c>
    </row>
    <row r="51" spans="1:4" ht="17" x14ac:dyDescent="0.2">
      <c r="A51" s="2" t="s">
        <v>184</v>
      </c>
      <c r="B51" s="2" t="s">
        <v>185</v>
      </c>
      <c r="C51" s="2" t="s">
        <v>186</v>
      </c>
      <c r="D51" s="2" t="s">
        <v>187</v>
      </c>
    </row>
    <row r="52" spans="1:4" ht="17" x14ac:dyDescent="0.2">
      <c r="A52" s="2" t="s">
        <v>188</v>
      </c>
      <c r="B52" s="2" t="s">
        <v>189</v>
      </c>
      <c r="C52" s="2" t="s">
        <v>190</v>
      </c>
      <c r="D52" s="2" t="s">
        <v>191</v>
      </c>
    </row>
    <row r="53" spans="1:4" ht="17" x14ac:dyDescent="0.2">
      <c r="A53" s="2" t="s">
        <v>192</v>
      </c>
      <c r="B53" s="2" t="s">
        <v>193</v>
      </c>
      <c r="C53" s="2" t="s">
        <v>194</v>
      </c>
      <c r="D53" s="2" t="s">
        <v>195</v>
      </c>
    </row>
    <row r="54" spans="1:4" ht="17" x14ac:dyDescent="0.2">
      <c r="A54" s="2" t="s">
        <v>196</v>
      </c>
      <c r="B54" s="2" t="s">
        <v>197</v>
      </c>
      <c r="C54" s="2" t="s">
        <v>198</v>
      </c>
      <c r="D54" s="2" t="s">
        <v>199</v>
      </c>
    </row>
    <row r="55" spans="1:4" ht="17" x14ac:dyDescent="0.2">
      <c r="A55" s="2" t="s">
        <v>200</v>
      </c>
      <c r="B55" s="2" t="s">
        <v>201</v>
      </c>
      <c r="C55" s="2" t="s">
        <v>202</v>
      </c>
      <c r="D55" s="2" t="s">
        <v>203</v>
      </c>
    </row>
    <row r="56" spans="1:4" ht="17" x14ac:dyDescent="0.2">
      <c r="A56" s="2" t="s">
        <v>204</v>
      </c>
      <c r="B56" s="2" t="s">
        <v>205</v>
      </c>
      <c r="C56" s="2" t="s">
        <v>206</v>
      </c>
      <c r="D56" s="2" t="s">
        <v>207</v>
      </c>
    </row>
    <row r="57" spans="1:4" ht="17" x14ac:dyDescent="0.2">
      <c r="A57" s="2" t="s">
        <v>208</v>
      </c>
      <c r="B57" s="2" t="s">
        <v>209</v>
      </c>
      <c r="C57" s="2" t="s">
        <v>210</v>
      </c>
      <c r="D57" s="2" t="s">
        <v>211</v>
      </c>
    </row>
    <row r="58" spans="1:4" ht="17" x14ac:dyDescent="0.2">
      <c r="A58" s="2" t="s">
        <v>212</v>
      </c>
      <c r="B58" s="2" t="s">
        <v>213</v>
      </c>
      <c r="C58" s="2" t="s">
        <v>214</v>
      </c>
      <c r="D58" s="2" t="s">
        <v>215</v>
      </c>
    </row>
    <row r="59" spans="1:4" ht="17" x14ac:dyDescent="0.2">
      <c r="A59" s="2" t="s">
        <v>216</v>
      </c>
      <c r="B59" s="2" t="s">
        <v>217</v>
      </c>
      <c r="C59" s="2" t="s">
        <v>218</v>
      </c>
      <c r="D59" s="2" t="s">
        <v>219</v>
      </c>
    </row>
    <row r="60" spans="1:4" ht="17" x14ac:dyDescent="0.2">
      <c r="A60" s="2" t="s">
        <v>220</v>
      </c>
      <c r="B60" s="2" t="s">
        <v>221</v>
      </c>
      <c r="C60" s="2" t="s">
        <v>222</v>
      </c>
      <c r="D60" s="2" t="s">
        <v>223</v>
      </c>
    </row>
    <row r="61" spans="1:4" ht="17" x14ac:dyDescent="0.2">
      <c r="A61" s="2" t="s">
        <v>224</v>
      </c>
      <c r="B61" s="2" t="s">
        <v>225</v>
      </c>
      <c r="C61" s="2" t="s">
        <v>226</v>
      </c>
      <c r="D61" s="2" t="s">
        <v>227</v>
      </c>
    </row>
    <row r="62" spans="1:4" ht="17" x14ac:dyDescent="0.2">
      <c r="A62" s="2" t="s">
        <v>228</v>
      </c>
      <c r="B62" s="2" t="s">
        <v>229</v>
      </c>
      <c r="C62" s="2" t="s">
        <v>230</v>
      </c>
      <c r="D62" s="2" t="s">
        <v>231</v>
      </c>
    </row>
    <row r="63" spans="1:4" ht="17" x14ac:dyDescent="0.2">
      <c r="A63" s="2" t="s">
        <v>232</v>
      </c>
      <c r="B63" s="2" t="s">
        <v>233</v>
      </c>
      <c r="C63" s="2" t="s">
        <v>234</v>
      </c>
      <c r="D63" s="2"/>
    </row>
    <row r="64" spans="1:4" ht="17" x14ac:dyDescent="0.2">
      <c r="A64" s="2" t="s">
        <v>235</v>
      </c>
      <c r="B64" s="2" t="s">
        <v>236</v>
      </c>
      <c r="C64" s="2" t="s">
        <v>237</v>
      </c>
      <c r="D64" s="2" t="s">
        <v>238</v>
      </c>
    </row>
    <row r="65" spans="1:4" ht="17" x14ac:dyDescent="0.2">
      <c r="A65" s="2" t="s">
        <v>239</v>
      </c>
      <c r="B65" s="2" t="s">
        <v>240</v>
      </c>
      <c r="C65" s="2" t="s">
        <v>241</v>
      </c>
      <c r="D65" s="2" t="s">
        <v>242</v>
      </c>
    </row>
    <row r="66" spans="1:4" ht="17" x14ac:dyDescent="0.2">
      <c r="A66" s="2" t="s">
        <v>243</v>
      </c>
      <c r="B66" s="2" t="s">
        <v>244</v>
      </c>
      <c r="C66" s="2" t="s">
        <v>245</v>
      </c>
      <c r="D66" s="2" t="s">
        <v>246</v>
      </c>
    </row>
    <row r="67" spans="1:4" ht="17" x14ac:dyDescent="0.2">
      <c r="A67" s="2" t="s">
        <v>247</v>
      </c>
      <c r="B67" s="2" t="s">
        <v>248</v>
      </c>
      <c r="C67" s="2" t="s">
        <v>249</v>
      </c>
      <c r="D67" s="2" t="s">
        <v>250</v>
      </c>
    </row>
    <row r="68" spans="1:4" ht="17" x14ac:dyDescent="0.2">
      <c r="A68" s="2" t="s">
        <v>251</v>
      </c>
      <c r="B68" s="2" t="s">
        <v>252</v>
      </c>
      <c r="C68" s="2" t="s">
        <v>253</v>
      </c>
      <c r="D68" s="2" t="s">
        <v>254</v>
      </c>
    </row>
    <row r="69" spans="1:4" ht="17" x14ac:dyDescent="0.2">
      <c r="A69" s="2" t="s">
        <v>255</v>
      </c>
      <c r="B69" s="2" t="s">
        <v>256</v>
      </c>
      <c r="C69" s="2" t="s">
        <v>257</v>
      </c>
      <c r="D69" s="2" t="s">
        <v>258</v>
      </c>
    </row>
    <row r="70" spans="1:4" ht="17" x14ac:dyDescent="0.2">
      <c r="A70" s="2" t="s">
        <v>259</v>
      </c>
      <c r="B70" s="2" t="s">
        <v>260</v>
      </c>
      <c r="C70" s="2" t="s">
        <v>261</v>
      </c>
      <c r="D70" s="2"/>
    </row>
    <row r="71" spans="1:4" ht="17" x14ac:dyDescent="0.2">
      <c r="A71" s="2" t="s">
        <v>262</v>
      </c>
      <c r="B71" s="2" t="s">
        <v>263</v>
      </c>
      <c r="C71" s="2" t="s">
        <v>264</v>
      </c>
      <c r="D71" s="2" t="s">
        <v>265</v>
      </c>
    </row>
    <row r="72" spans="1:4" ht="17" x14ac:dyDescent="0.2">
      <c r="A72" s="2" t="s">
        <v>266</v>
      </c>
      <c r="B72" s="2" t="s">
        <v>267</v>
      </c>
      <c r="C72" s="12"/>
      <c r="D72" s="2" t="s">
        <v>268</v>
      </c>
    </row>
    <row r="73" spans="1:4" ht="17" x14ac:dyDescent="0.2">
      <c r="A73" s="2" t="s">
        <v>269</v>
      </c>
      <c r="B73" s="12"/>
      <c r="C73" s="2" t="s">
        <v>270</v>
      </c>
      <c r="D73" s="2" t="s">
        <v>271</v>
      </c>
    </row>
    <row r="74" spans="1:4" ht="34" x14ac:dyDescent="0.2">
      <c r="A74" s="2" t="s">
        <v>272</v>
      </c>
      <c r="B74" s="12"/>
      <c r="C74" s="2" t="s">
        <v>273</v>
      </c>
      <c r="D74" s="2"/>
    </row>
    <row r="75" spans="1:4" ht="17" x14ac:dyDescent="0.2">
      <c r="A75" s="2" t="s">
        <v>274</v>
      </c>
      <c r="B75" s="12"/>
      <c r="C75" s="2" t="s">
        <v>275</v>
      </c>
      <c r="D75" s="2" t="s">
        <v>276</v>
      </c>
    </row>
    <row r="76" spans="1:4" ht="17" x14ac:dyDescent="0.2">
      <c r="A76" s="2" t="s">
        <v>277</v>
      </c>
      <c r="B76" s="2" t="s">
        <v>278</v>
      </c>
      <c r="C76" s="2" t="s">
        <v>279</v>
      </c>
      <c r="D76" s="12"/>
    </row>
    <row r="77" spans="1:4" ht="17" x14ac:dyDescent="0.2">
      <c r="A77" s="2" t="s">
        <v>280</v>
      </c>
      <c r="B77" s="2" t="s">
        <v>281</v>
      </c>
      <c r="C77" s="12"/>
      <c r="D77" s="2" t="s">
        <v>282</v>
      </c>
    </row>
    <row r="78" spans="1:4" ht="17" x14ac:dyDescent="0.2">
      <c r="A78" s="2" t="s">
        <v>283</v>
      </c>
      <c r="B78" s="2" t="s">
        <v>284</v>
      </c>
      <c r="C78" s="2" t="s">
        <v>285</v>
      </c>
      <c r="D78" s="12"/>
    </row>
    <row r="79" spans="1:4" ht="17" x14ac:dyDescent="0.2">
      <c r="A79" s="2" t="s">
        <v>286</v>
      </c>
      <c r="B79" s="2" t="s">
        <v>287</v>
      </c>
      <c r="C79" s="2" t="s">
        <v>288</v>
      </c>
      <c r="D79" s="12"/>
    </row>
    <row r="80" spans="1:4" ht="17" x14ac:dyDescent="0.2">
      <c r="A80" s="2" t="s">
        <v>289</v>
      </c>
      <c r="B80" s="2" t="s">
        <v>290</v>
      </c>
      <c r="C80" s="12"/>
      <c r="D80" s="2" t="s">
        <v>291</v>
      </c>
    </row>
    <row r="81" spans="1:4" ht="17" x14ac:dyDescent="0.2">
      <c r="A81" s="2" t="s">
        <v>292</v>
      </c>
      <c r="B81" s="2" t="s">
        <v>293</v>
      </c>
      <c r="C81" s="2" t="s">
        <v>294</v>
      </c>
      <c r="D81" s="12"/>
    </row>
    <row r="82" spans="1:4" ht="17" x14ac:dyDescent="0.2">
      <c r="A82" s="2" t="s">
        <v>295</v>
      </c>
      <c r="B82" s="2" t="s">
        <v>296</v>
      </c>
      <c r="C82" s="2" t="s">
        <v>297</v>
      </c>
      <c r="D82" s="12"/>
    </row>
    <row r="83" spans="1:4" ht="17" x14ac:dyDescent="0.2">
      <c r="A83" s="2" t="s">
        <v>298</v>
      </c>
      <c r="B83" s="2" t="s">
        <v>299</v>
      </c>
      <c r="C83" s="13"/>
      <c r="D83" s="13"/>
    </row>
    <row r="84" spans="1:4" ht="17" x14ac:dyDescent="0.2">
      <c r="A84" s="2" t="s">
        <v>300</v>
      </c>
      <c r="B84" s="12"/>
      <c r="C84" s="2" t="s">
        <v>301</v>
      </c>
      <c r="D84" s="2" t="s">
        <v>302</v>
      </c>
    </row>
    <row r="85" spans="1:4" ht="17" x14ac:dyDescent="0.2">
      <c r="A85" s="2" t="s">
        <v>303</v>
      </c>
      <c r="B85" s="12"/>
      <c r="C85" s="2" t="s">
        <v>304</v>
      </c>
      <c r="D85" s="2" t="s">
        <v>305</v>
      </c>
    </row>
    <row r="86" spans="1:4" ht="17" x14ac:dyDescent="0.2">
      <c r="A86" s="2" t="s">
        <v>306</v>
      </c>
      <c r="B86" s="12"/>
      <c r="C86" s="2" t="s">
        <v>307</v>
      </c>
      <c r="D86" s="2" t="s">
        <v>308</v>
      </c>
    </row>
    <row r="87" spans="1:4" ht="17" x14ac:dyDescent="0.2">
      <c r="A87" s="2" t="s">
        <v>309</v>
      </c>
      <c r="B87" s="12"/>
      <c r="C87" s="2" t="s">
        <v>310</v>
      </c>
      <c r="D87" s="2"/>
    </row>
    <row r="88" spans="1:4" ht="17" x14ac:dyDescent="0.2">
      <c r="A88" s="2" t="s">
        <v>311</v>
      </c>
      <c r="B88" s="12"/>
      <c r="C88" s="2" t="s">
        <v>312</v>
      </c>
      <c r="D88" s="2" t="s">
        <v>313</v>
      </c>
    </row>
    <row r="89" spans="1:4" ht="17" x14ac:dyDescent="0.2">
      <c r="A89" s="2" t="s">
        <v>314</v>
      </c>
      <c r="B89" s="12"/>
      <c r="C89" s="2" t="s">
        <v>315</v>
      </c>
      <c r="D89" s="2" t="s">
        <v>316</v>
      </c>
    </row>
    <row r="90" spans="1:4" ht="17" x14ac:dyDescent="0.2">
      <c r="A90" s="2" t="s">
        <v>317</v>
      </c>
      <c r="B90" s="12"/>
      <c r="C90" s="2" t="s">
        <v>318</v>
      </c>
      <c r="D90" s="2" t="s">
        <v>319</v>
      </c>
    </row>
    <row r="91" spans="1:4" ht="17" x14ac:dyDescent="0.2">
      <c r="A91" s="2" t="s">
        <v>320</v>
      </c>
      <c r="B91" s="12"/>
      <c r="C91" s="12"/>
      <c r="D91" s="2" t="s">
        <v>321</v>
      </c>
    </row>
    <row r="92" spans="1:4" ht="17" x14ac:dyDescent="0.2">
      <c r="A92" s="2" t="s">
        <v>322</v>
      </c>
      <c r="B92" s="12"/>
      <c r="C92" s="12"/>
      <c r="D92" s="2" t="s">
        <v>323</v>
      </c>
    </row>
    <row r="93" spans="1:4" ht="17" x14ac:dyDescent="0.2">
      <c r="A93" s="2" t="s">
        <v>324</v>
      </c>
      <c r="B93" s="12"/>
      <c r="C93" s="12"/>
      <c r="D93" s="2" t="s">
        <v>325</v>
      </c>
    </row>
    <row r="94" spans="1:4" ht="17" x14ac:dyDescent="0.2">
      <c r="A94" s="2" t="s">
        <v>326</v>
      </c>
      <c r="B94" s="12"/>
      <c r="C94" s="12"/>
      <c r="D94" s="2" t="s">
        <v>327</v>
      </c>
    </row>
  </sheetData>
  <mergeCells count="1">
    <mergeCell ref="C83:D8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21F09-F7B2-AD49-9B16-BEA045A6F576}">
  <dimension ref="A1:E372"/>
  <sheetViews>
    <sheetView workbookViewId="0"/>
  </sheetViews>
  <sheetFormatPr baseColWidth="10" defaultRowHeight="16" x14ac:dyDescent="0.2"/>
  <cols>
    <col min="1" max="1" width="13" customWidth="1"/>
    <col min="2" max="2" width="52" customWidth="1"/>
    <col min="3" max="3" width="10" customWidth="1"/>
    <col min="4" max="4" width="26" customWidth="1"/>
    <col min="5" max="5" width="24" customWidth="1"/>
  </cols>
  <sheetData>
    <row r="1" spans="1:5" x14ac:dyDescent="0.2">
      <c r="A1" t="s">
        <v>553</v>
      </c>
    </row>
    <row r="3" spans="1:5" x14ac:dyDescent="0.2">
      <c r="A3" s="14" t="s">
        <v>0</v>
      </c>
      <c r="B3" s="14" t="s">
        <v>331</v>
      </c>
      <c r="C3" s="14" t="s">
        <v>329</v>
      </c>
      <c r="D3" s="14" t="s">
        <v>332</v>
      </c>
      <c r="E3" s="14" t="s">
        <v>330</v>
      </c>
    </row>
    <row r="4" spans="1:5" x14ac:dyDescent="0.2">
      <c r="A4" s="4" t="s">
        <v>4</v>
      </c>
      <c r="B4" s="4" t="s">
        <v>333</v>
      </c>
      <c r="C4" s="4" t="str">
        <f t="shared" ref="C4:C67" si="0">IF(LEFT(B4,5)="Sobic","Sorghum",IF(LEFT(B4,7)="BGIOSGA","Rice","Maize"))</f>
        <v>Rice</v>
      </c>
      <c r="D4" s="4" t="str">
        <f t="shared" ref="D4:D67" si="1">B4</f>
        <v>BGIOSGA001069-PA</v>
      </c>
      <c r="E4" s="4" t="str">
        <f t="shared" ref="E4:E67" si="2">IF(C4="Sorghum",LEFT(D4,FIND(".",D4,FIND(".",D4)+1)-1),IF(C4="Maize",IFERROR(LEFT(D4,FIND("_P",D4)-1),D4),LEFT(D4,FIND("-PA",D4)-1)))</f>
        <v>BGIOSGA001069</v>
      </c>
    </row>
    <row r="5" spans="1:5" x14ac:dyDescent="0.2">
      <c r="A5" s="4" t="s">
        <v>4</v>
      </c>
      <c r="B5" s="4" t="s">
        <v>334</v>
      </c>
      <c r="C5" s="4" t="str">
        <f t="shared" si="0"/>
        <v>Rice</v>
      </c>
      <c r="D5" s="4" t="str">
        <f t="shared" si="1"/>
        <v>BGIOSGA009781-PA</v>
      </c>
      <c r="E5" s="4" t="str">
        <f t="shared" si="2"/>
        <v>BGIOSGA009781</v>
      </c>
    </row>
    <row r="6" spans="1:5" x14ac:dyDescent="0.2">
      <c r="A6" s="4" t="s">
        <v>4</v>
      </c>
      <c r="B6" s="4" t="s">
        <v>335</v>
      </c>
      <c r="C6" s="4" t="str">
        <f t="shared" si="0"/>
        <v>Rice</v>
      </c>
      <c r="D6" s="4" t="str">
        <f t="shared" si="1"/>
        <v>BGIOSGA020371-PA</v>
      </c>
      <c r="E6" s="4" t="str">
        <f t="shared" si="2"/>
        <v>BGIOSGA020371</v>
      </c>
    </row>
    <row r="7" spans="1:5" x14ac:dyDescent="0.2">
      <c r="A7" s="4" t="s">
        <v>4</v>
      </c>
      <c r="B7" s="4" t="s">
        <v>336</v>
      </c>
      <c r="C7" s="4" t="str">
        <f t="shared" si="0"/>
        <v>Rice</v>
      </c>
      <c r="D7" s="4" t="str">
        <f t="shared" si="1"/>
        <v>BGIOSGA024948-PA</v>
      </c>
      <c r="E7" s="4" t="str">
        <f t="shared" si="2"/>
        <v>BGIOSGA024948</v>
      </c>
    </row>
    <row r="8" spans="1:5" x14ac:dyDescent="0.2">
      <c r="A8" s="4" t="s">
        <v>4</v>
      </c>
      <c r="B8" s="4" t="s">
        <v>337</v>
      </c>
      <c r="C8" s="4" t="str">
        <f t="shared" si="0"/>
        <v>Sorghum</v>
      </c>
      <c r="D8" s="4" t="str">
        <f t="shared" si="1"/>
        <v>Sobic.002G008600.2.p</v>
      </c>
      <c r="E8" s="4" t="str">
        <f t="shared" si="2"/>
        <v>Sobic.002G008600</v>
      </c>
    </row>
    <row r="9" spans="1:5" x14ac:dyDescent="0.2">
      <c r="A9" s="4" t="s">
        <v>4</v>
      </c>
      <c r="B9" s="4" t="s">
        <v>338</v>
      </c>
      <c r="C9" s="4" t="str">
        <f t="shared" si="0"/>
        <v>Sorghum</v>
      </c>
      <c r="D9" s="4" t="str">
        <f t="shared" si="1"/>
        <v>Sobic.002G008600.3.p</v>
      </c>
      <c r="E9" s="4" t="str">
        <f t="shared" si="2"/>
        <v>Sobic.002G008600</v>
      </c>
    </row>
    <row r="10" spans="1:5" x14ac:dyDescent="0.2">
      <c r="A10" s="4" t="s">
        <v>4</v>
      </c>
      <c r="B10" s="4" t="s">
        <v>339</v>
      </c>
      <c r="C10" s="4" t="str">
        <f t="shared" si="0"/>
        <v>Sorghum</v>
      </c>
      <c r="D10" s="4" t="str">
        <f t="shared" si="1"/>
        <v>Sobic.003G248400.1.p</v>
      </c>
      <c r="E10" s="4" t="str">
        <f t="shared" si="2"/>
        <v>Sobic.003G248400</v>
      </c>
    </row>
    <row r="11" spans="1:5" x14ac:dyDescent="0.2">
      <c r="A11" s="4" t="s">
        <v>4</v>
      </c>
      <c r="B11" s="4" t="s">
        <v>340</v>
      </c>
      <c r="C11" s="4" t="str">
        <f t="shared" si="0"/>
        <v>Sorghum</v>
      </c>
      <c r="D11" s="4" t="str">
        <f t="shared" si="1"/>
        <v>Sobic.009G234100.1.p</v>
      </c>
      <c r="E11" s="4" t="str">
        <f t="shared" si="2"/>
        <v>Sobic.009G234100</v>
      </c>
    </row>
    <row r="12" spans="1:5" x14ac:dyDescent="0.2">
      <c r="A12" s="4" t="s">
        <v>4</v>
      </c>
      <c r="B12" s="4" t="s">
        <v>341</v>
      </c>
      <c r="C12" s="4" t="str">
        <f t="shared" si="0"/>
        <v>Maize</v>
      </c>
      <c r="D12" s="4" t="str">
        <f t="shared" si="1"/>
        <v>GRMZM2G018721_P01</v>
      </c>
      <c r="E12" s="4" t="str">
        <f t="shared" si="2"/>
        <v>GRMZM2G018721</v>
      </c>
    </row>
    <row r="13" spans="1:5" x14ac:dyDescent="0.2">
      <c r="A13" s="4" t="s">
        <v>4</v>
      </c>
      <c r="B13" s="4" t="s">
        <v>342</v>
      </c>
      <c r="C13" s="4" t="str">
        <f t="shared" si="0"/>
        <v>Maize</v>
      </c>
      <c r="D13" s="4" t="str">
        <f t="shared" si="1"/>
        <v>GRMZM2G151763_P01</v>
      </c>
      <c r="E13" s="4" t="str">
        <f t="shared" si="2"/>
        <v>GRMZM2G151763</v>
      </c>
    </row>
    <row r="14" spans="1:5" x14ac:dyDescent="0.2">
      <c r="A14" s="4" t="s">
        <v>4</v>
      </c>
      <c r="B14" s="4" t="s">
        <v>343</v>
      </c>
      <c r="C14" s="4" t="str">
        <f t="shared" si="0"/>
        <v>Maize</v>
      </c>
      <c r="D14" s="4" t="str">
        <f t="shared" si="1"/>
        <v>GRMZM2G453571_P01</v>
      </c>
      <c r="E14" s="4" t="str">
        <f t="shared" si="2"/>
        <v>GRMZM2G453571</v>
      </c>
    </row>
    <row r="15" spans="1:5" x14ac:dyDescent="0.2">
      <c r="A15" s="4" t="s">
        <v>8</v>
      </c>
      <c r="B15" s="4" t="s">
        <v>344</v>
      </c>
      <c r="C15" s="4" t="str">
        <f t="shared" si="0"/>
        <v>Rice</v>
      </c>
      <c r="D15" s="4" t="str">
        <f t="shared" si="1"/>
        <v>BGIOSGA034615-PA</v>
      </c>
      <c r="E15" s="4" t="str">
        <f t="shared" si="2"/>
        <v>BGIOSGA034615</v>
      </c>
    </row>
    <row r="16" spans="1:5" x14ac:dyDescent="0.2">
      <c r="A16" s="4" t="s">
        <v>8</v>
      </c>
      <c r="B16" s="4" t="s">
        <v>345</v>
      </c>
      <c r="C16" s="4" t="str">
        <f t="shared" si="0"/>
        <v>Rice</v>
      </c>
      <c r="D16" s="4" t="str">
        <f t="shared" si="1"/>
        <v>BGIOSGA036759-PA</v>
      </c>
      <c r="E16" s="4" t="str">
        <f t="shared" si="2"/>
        <v>BGIOSGA036759</v>
      </c>
    </row>
    <row r="17" spans="1:5" x14ac:dyDescent="0.2">
      <c r="A17" s="4" t="s">
        <v>8</v>
      </c>
      <c r="B17" s="4" t="s">
        <v>346</v>
      </c>
      <c r="C17" s="4" t="str">
        <f t="shared" si="0"/>
        <v>Sorghum</v>
      </c>
      <c r="D17" s="4" t="str">
        <f t="shared" si="1"/>
        <v>Sobic.005G013600.2.p</v>
      </c>
      <c r="E17" s="4" t="str">
        <f t="shared" si="2"/>
        <v>Sobic.005G013600</v>
      </c>
    </row>
    <row r="18" spans="1:5" x14ac:dyDescent="0.2">
      <c r="A18" s="4" t="s">
        <v>8</v>
      </c>
      <c r="B18" s="4" t="s">
        <v>347</v>
      </c>
      <c r="C18" s="4" t="str">
        <f t="shared" si="0"/>
        <v>Sorghum</v>
      </c>
      <c r="D18" s="4" t="str">
        <f t="shared" si="1"/>
        <v>Sobic.005G013600.3.p</v>
      </c>
      <c r="E18" s="4" t="str">
        <f t="shared" si="2"/>
        <v>Sobic.005G013600</v>
      </c>
    </row>
    <row r="19" spans="1:5" x14ac:dyDescent="0.2">
      <c r="A19" s="4" t="s">
        <v>8</v>
      </c>
      <c r="B19" s="4" t="s">
        <v>348</v>
      </c>
      <c r="C19" s="4" t="str">
        <f t="shared" si="0"/>
        <v>Sorghum</v>
      </c>
      <c r="D19" s="4" t="str">
        <f t="shared" si="1"/>
        <v>Sobic.005G013600.4.p</v>
      </c>
      <c r="E19" s="4" t="str">
        <f t="shared" si="2"/>
        <v>Sobic.005G013600</v>
      </c>
    </row>
    <row r="20" spans="1:5" x14ac:dyDescent="0.2">
      <c r="A20" s="4" t="s">
        <v>8</v>
      </c>
      <c r="B20" s="4" t="s">
        <v>349</v>
      </c>
      <c r="C20" s="4" t="str">
        <f t="shared" si="0"/>
        <v>Sorghum</v>
      </c>
      <c r="D20" s="4" t="str">
        <f t="shared" si="1"/>
        <v>Sobic.005G013600.5.p</v>
      </c>
      <c r="E20" s="4" t="str">
        <f t="shared" si="2"/>
        <v>Sobic.005G013600</v>
      </c>
    </row>
    <row r="21" spans="1:5" x14ac:dyDescent="0.2">
      <c r="A21" s="4" t="s">
        <v>8</v>
      </c>
      <c r="B21" s="4" t="s">
        <v>350</v>
      </c>
      <c r="C21" s="4" t="str">
        <f t="shared" si="0"/>
        <v>Sorghum</v>
      </c>
      <c r="D21" s="4" t="str">
        <f t="shared" si="1"/>
        <v>Sobic.005G013600.6.p</v>
      </c>
      <c r="E21" s="4" t="str">
        <f t="shared" si="2"/>
        <v>Sobic.005G013600</v>
      </c>
    </row>
    <row r="22" spans="1:5" x14ac:dyDescent="0.2">
      <c r="A22" s="4" t="s">
        <v>8</v>
      </c>
      <c r="B22" s="4" t="s">
        <v>351</v>
      </c>
      <c r="C22" s="4" t="str">
        <f t="shared" si="0"/>
        <v>Sorghum</v>
      </c>
      <c r="D22" s="4" t="str">
        <f t="shared" si="1"/>
        <v>Sobic.008G029400.1.p</v>
      </c>
      <c r="E22" s="4" t="str">
        <f t="shared" si="2"/>
        <v>Sobic.008G029400</v>
      </c>
    </row>
    <row r="23" spans="1:5" x14ac:dyDescent="0.2">
      <c r="A23" s="4" t="s">
        <v>8</v>
      </c>
      <c r="B23" s="4" t="s">
        <v>352</v>
      </c>
      <c r="C23" s="4" t="str">
        <f t="shared" si="0"/>
        <v>Sorghum</v>
      </c>
      <c r="D23" s="4" t="str">
        <f t="shared" si="1"/>
        <v>Sobic.008G029400.2.p</v>
      </c>
      <c r="E23" s="4" t="str">
        <f t="shared" si="2"/>
        <v>Sobic.008G029400</v>
      </c>
    </row>
    <row r="24" spans="1:5" x14ac:dyDescent="0.2">
      <c r="A24" s="4" t="s">
        <v>8</v>
      </c>
      <c r="B24" s="4" t="s">
        <v>11</v>
      </c>
      <c r="C24" s="4" t="str">
        <f t="shared" si="0"/>
        <v>Maize</v>
      </c>
      <c r="D24" s="4" t="str">
        <f t="shared" si="1"/>
        <v>GRMZM2G063216_P01</v>
      </c>
      <c r="E24" s="4" t="str">
        <f t="shared" si="2"/>
        <v>GRMZM2G063216</v>
      </c>
    </row>
    <row r="25" spans="1:5" x14ac:dyDescent="0.2">
      <c r="A25" s="4" t="s">
        <v>12</v>
      </c>
      <c r="B25" s="4" t="s">
        <v>353</v>
      </c>
      <c r="C25" s="4" t="str">
        <f t="shared" si="0"/>
        <v>Rice</v>
      </c>
      <c r="D25" s="4" t="str">
        <f t="shared" si="1"/>
        <v>BGIOSGA001176-PA</v>
      </c>
      <c r="E25" s="4" t="str">
        <f t="shared" si="2"/>
        <v>BGIOSGA001176</v>
      </c>
    </row>
    <row r="26" spans="1:5" x14ac:dyDescent="0.2">
      <c r="A26" s="4" t="s">
        <v>12</v>
      </c>
      <c r="B26" s="4" t="s">
        <v>354</v>
      </c>
      <c r="C26" s="4" t="str">
        <f t="shared" si="0"/>
        <v>Rice</v>
      </c>
      <c r="D26" s="4" t="str">
        <f t="shared" si="1"/>
        <v>BGIOSGA001178-PA</v>
      </c>
      <c r="E26" s="4" t="str">
        <f t="shared" si="2"/>
        <v>BGIOSGA001178</v>
      </c>
    </row>
    <row r="27" spans="1:5" x14ac:dyDescent="0.2">
      <c r="A27" s="4" t="s">
        <v>12</v>
      </c>
      <c r="B27" s="4" t="s">
        <v>355</v>
      </c>
      <c r="C27" s="4" t="str">
        <f t="shared" si="0"/>
        <v>Rice</v>
      </c>
      <c r="D27" s="4" t="str">
        <f t="shared" si="1"/>
        <v>BGIOSGA020451-PA</v>
      </c>
      <c r="E27" s="4" t="str">
        <f t="shared" si="2"/>
        <v>BGIOSGA020451</v>
      </c>
    </row>
    <row r="28" spans="1:5" x14ac:dyDescent="0.2">
      <c r="A28" s="4" t="s">
        <v>12</v>
      </c>
      <c r="B28" s="4" t="s">
        <v>356</v>
      </c>
      <c r="C28" s="4" t="str">
        <f t="shared" si="0"/>
        <v>Sorghum</v>
      </c>
      <c r="D28" s="4" t="str">
        <f t="shared" si="1"/>
        <v>Sobic.003G226600.1.p</v>
      </c>
      <c r="E28" s="4" t="str">
        <f t="shared" si="2"/>
        <v>Sobic.003G226600</v>
      </c>
    </row>
    <row r="29" spans="1:5" x14ac:dyDescent="0.2">
      <c r="A29" s="4" t="s">
        <v>12</v>
      </c>
      <c r="B29" s="4" t="s">
        <v>357</v>
      </c>
      <c r="C29" s="4" t="str">
        <f t="shared" si="0"/>
        <v>Sorghum</v>
      </c>
      <c r="D29" s="4" t="str">
        <f t="shared" si="1"/>
        <v>Sobic.009G247700.1.p</v>
      </c>
      <c r="E29" s="4" t="str">
        <f t="shared" si="2"/>
        <v>Sobic.009G247700</v>
      </c>
    </row>
    <row r="30" spans="1:5" x14ac:dyDescent="0.2">
      <c r="A30" s="4" t="s">
        <v>12</v>
      </c>
      <c r="B30" s="4" t="s">
        <v>358</v>
      </c>
      <c r="C30" s="4" t="str">
        <f t="shared" si="0"/>
        <v>Maize</v>
      </c>
      <c r="D30" s="4" t="str">
        <f t="shared" si="1"/>
        <v>GRMZM2G105140_P01</v>
      </c>
      <c r="E30" s="4" t="str">
        <f t="shared" si="2"/>
        <v>GRMZM2G105140</v>
      </c>
    </row>
    <row r="31" spans="1:5" x14ac:dyDescent="0.2">
      <c r="A31" s="4" t="s">
        <v>12</v>
      </c>
      <c r="B31" s="4" t="s">
        <v>359</v>
      </c>
      <c r="C31" s="4" t="str">
        <f t="shared" si="0"/>
        <v>Maize</v>
      </c>
      <c r="D31" s="4" t="str">
        <f t="shared" si="1"/>
        <v>GRMZM2G149683_P01</v>
      </c>
      <c r="E31" s="4" t="str">
        <f t="shared" si="2"/>
        <v>GRMZM2G149683</v>
      </c>
    </row>
    <row r="32" spans="1:5" x14ac:dyDescent="0.2">
      <c r="A32" s="4" t="s">
        <v>12</v>
      </c>
      <c r="B32" s="4" t="s">
        <v>360</v>
      </c>
      <c r="C32" s="4" t="str">
        <f t="shared" si="0"/>
        <v>Maize</v>
      </c>
      <c r="D32" s="4" t="str">
        <f t="shared" si="1"/>
        <v>GRMZM2G414315_P01</v>
      </c>
      <c r="E32" s="4" t="str">
        <f t="shared" si="2"/>
        <v>GRMZM2G414315</v>
      </c>
    </row>
    <row r="33" spans="1:5" x14ac:dyDescent="0.2">
      <c r="A33" s="4" t="s">
        <v>16</v>
      </c>
      <c r="B33" s="4" t="s">
        <v>361</v>
      </c>
      <c r="C33" s="4" t="str">
        <f t="shared" si="0"/>
        <v>Rice</v>
      </c>
      <c r="D33" s="4" t="str">
        <f t="shared" si="1"/>
        <v>BGIOSGA017063-PA</v>
      </c>
      <c r="E33" s="4" t="str">
        <f t="shared" si="2"/>
        <v>BGIOSGA017063</v>
      </c>
    </row>
    <row r="34" spans="1:5" x14ac:dyDescent="0.2">
      <c r="A34" s="4" t="s">
        <v>16</v>
      </c>
      <c r="B34" s="4" t="s">
        <v>362</v>
      </c>
      <c r="C34" s="4" t="str">
        <f t="shared" si="0"/>
        <v>Rice</v>
      </c>
      <c r="D34" s="4" t="str">
        <f t="shared" si="1"/>
        <v>BGIOSGA027404-PA</v>
      </c>
      <c r="E34" s="4" t="str">
        <f t="shared" si="2"/>
        <v>BGIOSGA027404</v>
      </c>
    </row>
    <row r="35" spans="1:5" x14ac:dyDescent="0.2">
      <c r="A35" s="4" t="s">
        <v>16</v>
      </c>
      <c r="B35" s="4" t="s">
        <v>363</v>
      </c>
      <c r="C35" s="4" t="str">
        <f t="shared" si="0"/>
        <v>Sorghum</v>
      </c>
      <c r="D35" s="4" t="str">
        <f t="shared" si="1"/>
        <v>Sobic.006G206000.1.p</v>
      </c>
      <c r="E35" s="4" t="str">
        <f t="shared" si="2"/>
        <v>Sobic.006G206000</v>
      </c>
    </row>
    <row r="36" spans="1:5" x14ac:dyDescent="0.2">
      <c r="A36" s="4" t="s">
        <v>16</v>
      </c>
      <c r="B36" s="4" t="s">
        <v>364</v>
      </c>
      <c r="C36" s="4" t="str">
        <f t="shared" si="0"/>
        <v>Sorghum</v>
      </c>
      <c r="D36" s="4" t="str">
        <f t="shared" si="1"/>
        <v>Sobic.007G085300.1.p</v>
      </c>
      <c r="E36" s="4" t="str">
        <f t="shared" si="2"/>
        <v>Sobic.007G085300</v>
      </c>
    </row>
    <row r="37" spans="1:5" x14ac:dyDescent="0.2">
      <c r="A37" s="4" t="s">
        <v>16</v>
      </c>
      <c r="B37" s="4" t="s">
        <v>365</v>
      </c>
      <c r="C37" s="4" t="str">
        <f t="shared" si="0"/>
        <v>Maize</v>
      </c>
      <c r="D37" s="4" t="str">
        <f t="shared" si="1"/>
        <v>GRMZM2G071907_P01</v>
      </c>
      <c r="E37" s="4" t="str">
        <f t="shared" si="2"/>
        <v>GRMZM2G071907</v>
      </c>
    </row>
    <row r="38" spans="1:5" x14ac:dyDescent="0.2">
      <c r="A38" s="4" t="s">
        <v>16</v>
      </c>
      <c r="B38" s="4" t="s">
        <v>366</v>
      </c>
      <c r="C38" s="4" t="str">
        <f t="shared" si="0"/>
        <v>Maize</v>
      </c>
      <c r="D38" s="4" t="str">
        <f t="shared" si="1"/>
        <v>GRMZM2G071907_P03</v>
      </c>
      <c r="E38" s="4" t="str">
        <f t="shared" si="2"/>
        <v>GRMZM2G071907</v>
      </c>
    </row>
    <row r="39" spans="1:5" x14ac:dyDescent="0.2">
      <c r="A39" s="4" t="s">
        <v>16</v>
      </c>
      <c r="B39" s="4" t="s">
        <v>367</v>
      </c>
      <c r="C39" s="4" t="str">
        <f t="shared" si="0"/>
        <v>Maize</v>
      </c>
      <c r="D39" s="4" t="str">
        <f t="shared" si="1"/>
        <v>GRMZM2G090594_P01</v>
      </c>
      <c r="E39" s="4" t="str">
        <f t="shared" si="2"/>
        <v>GRMZM2G090594</v>
      </c>
    </row>
    <row r="40" spans="1:5" x14ac:dyDescent="0.2">
      <c r="A40" s="4" t="s">
        <v>16</v>
      </c>
      <c r="B40" s="4" t="s">
        <v>368</v>
      </c>
      <c r="C40" s="4" t="str">
        <f t="shared" si="0"/>
        <v>Maize</v>
      </c>
      <c r="D40" s="4" t="str">
        <f t="shared" si="1"/>
        <v>GRMZM2G148561_P01</v>
      </c>
      <c r="E40" s="4" t="str">
        <f t="shared" si="2"/>
        <v>GRMZM2G148561</v>
      </c>
    </row>
    <row r="41" spans="1:5" x14ac:dyDescent="0.2">
      <c r="A41" s="4" t="s">
        <v>20</v>
      </c>
      <c r="B41" s="4" t="s">
        <v>369</v>
      </c>
      <c r="C41" s="4" t="str">
        <f t="shared" si="0"/>
        <v>Rice</v>
      </c>
      <c r="D41" s="4" t="str">
        <f t="shared" si="1"/>
        <v>BGIOSGA017556-PA</v>
      </c>
      <c r="E41" s="4" t="str">
        <f t="shared" si="2"/>
        <v>BGIOSGA017556</v>
      </c>
    </row>
    <row r="42" spans="1:5" x14ac:dyDescent="0.2">
      <c r="A42" s="4" t="s">
        <v>20</v>
      </c>
      <c r="B42" s="4" t="s">
        <v>370</v>
      </c>
      <c r="C42" s="4" t="str">
        <f t="shared" si="0"/>
        <v>Rice</v>
      </c>
      <c r="D42" s="4" t="str">
        <f t="shared" si="1"/>
        <v>BGIOSGA034612-PA</v>
      </c>
      <c r="E42" s="4" t="str">
        <f t="shared" si="2"/>
        <v>BGIOSGA034612</v>
      </c>
    </row>
    <row r="43" spans="1:5" x14ac:dyDescent="0.2">
      <c r="A43" s="4" t="s">
        <v>20</v>
      </c>
      <c r="B43" s="4" t="s">
        <v>371</v>
      </c>
      <c r="C43" s="4" t="str">
        <f t="shared" si="0"/>
        <v>Rice</v>
      </c>
      <c r="D43" s="4" t="str">
        <f t="shared" si="1"/>
        <v>BGIOSGA036756-PA</v>
      </c>
      <c r="E43" s="4" t="str">
        <f t="shared" si="2"/>
        <v>BGIOSGA036756</v>
      </c>
    </row>
    <row r="44" spans="1:5" x14ac:dyDescent="0.2">
      <c r="A44" s="4" t="s">
        <v>20</v>
      </c>
      <c r="B44" s="4" t="s">
        <v>372</v>
      </c>
      <c r="C44" s="4" t="str">
        <f t="shared" si="0"/>
        <v>Sorghum</v>
      </c>
      <c r="D44" s="4" t="str">
        <f t="shared" si="1"/>
        <v>Sobic.005G014000.1.p</v>
      </c>
      <c r="E44" s="4" t="str">
        <f t="shared" si="2"/>
        <v>Sobic.005G014000</v>
      </c>
    </row>
    <row r="45" spans="1:5" x14ac:dyDescent="0.2">
      <c r="A45" s="4" t="s">
        <v>20</v>
      </c>
      <c r="B45" s="4" t="s">
        <v>373</v>
      </c>
      <c r="C45" s="4" t="str">
        <f t="shared" si="0"/>
        <v>Sorghum</v>
      </c>
      <c r="D45" s="4" t="str">
        <f t="shared" si="1"/>
        <v>Sobic.005G014200.1.p</v>
      </c>
      <c r="E45" s="4" t="str">
        <f t="shared" si="2"/>
        <v>Sobic.005G014200</v>
      </c>
    </row>
    <row r="46" spans="1:5" x14ac:dyDescent="0.2">
      <c r="A46" s="4" t="s">
        <v>20</v>
      </c>
      <c r="B46" s="4" t="s">
        <v>374</v>
      </c>
      <c r="C46" s="4" t="str">
        <f t="shared" si="0"/>
        <v>Sorghum</v>
      </c>
      <c r="D46" s="4" t="str">
        <f t="shared" si="1"/>
        <v>Sobic.008G029000.2.p</v>
      </c>
      <c r="E46" s="4" t="str">
        <f t="shared" si="2"/>
        <v>Sobic.008G029000</v>
      </c>
    </row>
    <row r="47" spans="1:5" x14ac:dyDescent="0.2">
      <c r="A47" s="4" t="s">
        <v>20</v>
      </c>
      <c r="B47" s="4" t="s">
        <v>375</v>
      </c>
      <c r="C47" s="4" t="str">
        <f t="shared" si="0"/>
        <v>Maize</v>
      </c>
      <c r="D47" s="4" t="str">
        <f t="shared" si="1"/>
        <v>GRMZM2G169564_P01</v>
      </c>
      <c r="E47" s="4" t="str">
        <f t="shared" si="2"/>
        <v>GRMZM2G169564</v>
      </c>
    </row>
    <row r="48" spans="1:5" x14ac:dyDescent="0.2">
      <c r="A48" s="4" t="s">
        <v>20</v>
      </c>
      <c r="B48" s="4" t="s">
        <v>376</v>
      </c>
      <c r="C48" s="4" t="str">
        <f t="shared" si="0"/>
        <v>Maize</v>
      </c>
      <c r="D48" s="4" t="str">
        <f t="shared" si="1"/>
        <v>GRMZM2G400559_P01</v>
      </c>
      <c r="E48" s="4" t="str">
        <f t="shared" si="2"/>
        <v>GRMZM2G400559</v>
      </c>
    </row>
    <row r="49" spans="1:5" x14ac:dyDescent="0.2">
      <c r="A49" s="4" t="s">
        <v>24</v>
      </c>
      <c r="B49" s="4" t="s">
        <v>377</v>
      </c>
      <c r="C49" s="4" t="str">
        <f t="shared" si="0"/>
        <v>Sorghum</v>
      </c>
      <c r="D49" s="4" t="str">
        <f t="shared" si="1"/>
        <v>Sobic.007G217700.1.p</v>
      </c>
      <c r="E49" s="4" t="str">
        <f t="shared" si="2"/>
        <v>Sobic.007G217700</v>
      </c>
    </row>
    <row r="50" spans="1:5" x14ac:dyDescent="0.2">
      <c r="A50" s="4" t="s">
        <v>24</v>
      </c>
      <c r="B50" s="4" t="s">
        <v>378</v>
      </c>
      <c r="C50" s="4" t="str">
        <f t="shared" si="0"/>
        <v>Sorghum</v>
      </c>
      <c r="D50" s="4" t="str">
        <f t="shared" si="1"/>
        <v>Sobic.007G217700.2.p</v>
      </c>
      <c r="E50" s="4" t="str">
        <f t="shared" si="2"/>
        <v>Sobic.007G217700</v>
      </c>
    </row>
    <row r="51" spans="1:5" x14ac:dyDescent="0.2">
      <c r="A51" s="4" t="s">
        <v>24</v>
      </c>
      <c r="B51" s="4" t="s">
        <v>379</v>
      </c>
      <c r="C51" s="4" t="str">
        <f t="shared" si="0"/>
        <v>Sorghum</v>
      </c>
      <c r="D51" s="4" t="str">
        <f t="shared" si="1"/>
        <v>Sobic.007G217700.3.p</v>
      </c>
      <c r="E51" s="4" t="str">
        <f t="shared" si="2"/>
        <v>Sobic.007G217700</v>
      </c>
    </row>
    <row r="52" spans="1:5" x14ac:dyDescent="0.2">
      <c r="A52" s="4" t="s">
        <v>24</v>
      </c>
      <c r="B52" s="4" t="s">
        <v>380</v>
      </c>
      <c r="C52" s="4" t="str">
        <f t="shared" si="0"/>
        <v>Sorghum</v>
      </c>
      <c r="D52" s="4" t="str">
        <f t="shared" si="1"/>
        <v>Sobic.007G217700.4.p</v>
      </c>
      <c r="E52" s="4" t="str">
        <f t="shared" si="2"/>
        <v>Sobic.007G217700</v>
      </c>
    </row>
    <row r="53" spans="1:5" x14ac:dyDescent="0.2">
      <c r="A53" s="4" t="s">
        <v>24</v>
      </c>
      <c r="B53" s="4" t="s">
        <v>381</v>
      </c>
      <c r="C53" s="4" t="str">
        <f t="shared" si="0"/>
        <v>Sorghum</v>
      </c>
      <c r="D53" s="4" t="str">
        <f t="shared" si="1"/>
        <v>Sobic.007G217700.5.p</v>
      </c>
      <c r="E53" s="4" t="str">
        <f t="shared" si="2"/>
        <v>Sobic.007G217700</v>
      </c>
    </row>
    <row r="54" spans="1:5" x14ac:dyDescent="0.2">
      <c r="A54" s="4" t="s">
        <v>24</v>
      </c>
      <c r="B54" s="4" t="s">
        <v>382</v>
      </c>
      <c r="C54" s="4" t="str">
        <f t="shared" si="0"/>
        <v>Sorghum</v>
      </c>
      <c r="D54" s="4" t="str">
        <f t="shared" si="1"/>
        <v>Sobic.007G217700.6.p</v>
      </c>
      <c r="E54" s="4" t="str">
        <f t="shared" si="2"/>
        <v>Sobic.007G217700</v>
      </c>
    </row>
    <row r="55" spans="1:5" x14ac:dyDescent="0.2">
      <c r="A55" s="4" t="s">
        <v>24</v>
      </c>
      <c r="B55" s="4" t="s">
        <v>383</v>
      </c>
      <c r="C55" s="4" t="str">
        <f t="shared" si="0"/>
        <v>Sorghum</v>
      </c>
      <c r="D55" s="4" t="str">
        <f t="shared" si="1"/>
        <v>Sobic.007G217700.7.p</v>
      </c>
      <c r="E55" s="4" t="str">
        <f t="shared" si="2"/>
        <v>Sobic.007G217700</v>
      </c>
    </row>
    <row r="56" spans="1:5" x14ac:dyDescent="0.2">
      <c r="A56" s="4" t="s">
        <v>24</v>
      </c>
      <c r="B56" s="4" t="s">
        <v>26</v>
      </c>
      <c r="C56" s="4" t="str">
        <f t="shared" si="0"/>
        <v>Maize</v>
      </c>
      <c r="D56" s="4" t="str">
        <f t="shared" si="1"/>
        <v>GRMZM2G027972_P01</v>
      </c>
      <c r="E56" s="4" t="str">
        <f t="shared" si="2"/>
        <v>GRMZM2G027972</v>
      </c>
    </row>
    <row r="57" spans="1:5" x14ac:dyDescent="0.2">
      <c r="A57" s="4" t="s">
        <v>27</v>
      </c>
      <c r="B57" s="4" t="s">
        <v>384</v>
      </c>
      <c r="C57" s="4" t="str">
        <f t="shared" si="0"/>
        <v>Rice</v>
      </c>
      <c r="D57" s="4" t="str">
        <f t="shared" si="1"/>
        <v>BGIOSGA007670-PA</v>
      </c>
      <c r="E57" s="4" t="str">
        <f t="shared" si="2"/>
        <v>BGIOSGA007670</v>
      </c>
    </row>
    <row r="58" spans="1:5" x14ac:dyDescent="0.2">
      <c r="A58" s="4" t="s">
        <v>27</v>
      </c>
      <c r="B58" s="4" t="s">
        <v>385</v>
      </c>
      <c r="C58" s="4" t="str">
        <f t="shared" si="0"/>
        <v>Rice</v>
      </c>
      <c r="D58" s="4" t="str">
        <f t="shared" si="1"/>
        <v>BGIOSGA020778-PA</v>
      </c>
      <c r="E58" s="4" t="str">
        <f t="shared" si="2"/>
        <v>BGIOSGA020778</v>
      </c>
    </row>
    <row r="59" spans="1:5" x14ac:dyDescent="0.2">
      <c r="A59" s="4" t="s">
        <v>27</v>
      </c>
      <c r="B59" s="4" t="s">
        <v>386</v>
      </c>
      <c r="C59" s="4" t="str">
        <f t="shared" si="0"/>
        <v>Sorghum</v>
      </c>
      <c r="D59" s="4" t="str">
        <f t="shared" si="1"/>
        <v>Sobic.004G065900.1.p</v>
      </c>
      <c r="E59" s="4" t="str">
        <f t="shared" si="2"/>
        <v>Sobic.004G065900</v>
      </c>
    </row>
    <row r="60" spans="1:5" x14ac:dyDescent="0.2">
      <c r="A60" s="4" t="s">
        <v>27</v>
      </c>
      <c r="B60" s="4" t="s">
        <v>387</v>
      </c>
      <c r="C60" s="4" t="str">
        <f t="shared" si="0"/>
        <v>Sorghum</v>
      </c>
      <c r="D60" s="4" t="str">
        <f t="shared" si="1"/>
        <v>Sobic.010G209100.1.p</v>
      </c>
      <c r="E60" s="4" t="str">
        <f t="shared" si="2"/>
        <v>Sobic.010G209100</v>
      </c>
    </row>
    <row r="61" spans="1:5" x14ac:dyDescent="0.2">
      <c r="A61" s="4" t="s">
        <v>27</v>
      </c>
      <c r="B61" s="4" t="s">
        <v>388</v>
      </c>
      <c r="C61" s="4" t="str">
        <f t="shared" si="0"/>
        <v>Sorghum</v>
      </c>
      <c r="D61" s="4" t="str">
        <f t="shared" si="1"/>
        <v>Sobic.010G209200.1.p</v>
      </c>
      <c r="E61" s="4" t="str">
        <f t="shared" si="2"/>
        <v>Sobic.010G209200</v>
      </c>
    </row>
    <row r="62" spans="1:5" x14ac:dyDescent="0.2">
      <c r="A62" s="4" t="s">
        <v>27</v>
      </c>
      <c r="B62" s="4" t="s">
        <v>389</v>
      </c>
      <c r="C62" s="4" t="str">
        <f t="shared" si="0"/>
        <v>Maize</v>
      </c>
      <c r="D62" s="4" t="str">
        <f t="shared" si="1"/>
        <v>GRMZM2G111711_P01</v>
      </c>
      <c r="E62" s="4" t="str">
        <f t="shared" si="2"/>
        <v>GRMZM2G111711</v>
      </c>
    </row>
    <row r="63" spans="1:5" x14ac:dyDescent="0.2">
      <c r="A63" s="4" t="s">
        <v>27</v>
      </c>
      <c r="B63" s="4" t="s">
        <v>390</v>
      </c>
      <c r="C63" s="4" t="str">
        <f t="shared" si="0"/>
        <v>Maize</v>
      </c>
      <c r="D63" s="4" t="str">
        <f t="shared" si="1"/>
        <v>GRMZM2G120320_P01</v>
      </c>
      <c r="E63" s="4" t="str">
        <f t="shared" si="2"/>
        <v>GRMZM2G120320</v>
      </c>
    </row>
    <row r="64" spans="1:5" x14ac:dyDescent="0.2">
      <c r="A64" s="4" t="s">
        <v>31</v>
      </c>
      <c r="B64" s="4" t="s">
        <v>32</v>
      </c>
      <c r="C64" s="4" t="str">
        <f t="shared" si="0"/>
        <v>Rice</v>
      </c>
      <c r="D64" s="4" t="str">
        <f t="shared" si="1"/>
        <v>BGIOSGA018676-PA</v>
      </c>
      <c r="E64" s="4" t="str">
        <f t="shared" si="2"/>
        <v>BGIOSGA018676</v>
      </c>
    </row>
    <row r="65" spans="1:5" x14ac:dyDescent="0.2">
      <c r="A65" s="4" t="s">
        <v>31</v>
      </c>
      <c r="B65" s="4" t="s">
        <v>33</v>
      </c>
      <c r="C65" s="4" t="str">
        <f t="shared" si="0"/>
        <v>Sorghum</v>
      </c>
      <c r="D65" s="4" t="str">
        <f t="shared" si="1"/>
        <v>Sobic.009G068900.1.p</v>
      </c>
      <c r="E65" s="4" t="str">
        <f t="shared" si="2"/>
        <v>Sobic.009G068900</v>
      </c>
    </row>
    <row r="66" spans="1:5" x14ac:dyDescent="0.2">
      <c r="A66" s="4" t="s">
        <v>31</v>
      </c>
      <c r="B66" s="4" t="s">
        <v>391</v>
      </c>
      <c r="C66" s="4" t="str">
        <f t="shared" si="0"/>
        <v>Maize</v>
      </c>
      <c r="D66" s="4" t="str">
        <f t="shared" si="1"/>
        <v>GRMZM2G057116_P01</v>
      </c>
      <c r="E66" s="4" t="str">
        <f t="shared" si="2"/>
        <v>GRMZM2G057116</v>
      </c>
    </row>
    <row r="67" spans="1:5" x14ac:dyDescent="0.2">
      <c r="A67" s="4" t="s">
        <v>31</v>
      </c>
      <c r="B67" s="4" t="s">
        <v>392</v>
      </c>
      <c r="C67" s="4" t="str">
        <f t="shared" si="0"/>
        <v>Maize</v>
      </c>
      <c r="D67" s="4" t="str">
        <f t="shared" si="1"/>
        <v>GRMZM2G163054_P01</v>
      </c>
      <c r="E67" s="4" t="str">
        <f t="shared" si="2"/>
        <v>GRMZM2G163054</v>
      </c>
    </row>
    <row r="68" spans="1:5" x14ac:dyDescent="0.2">
      <c r="A68" s="4" t="s">
        <v>31</v>
      </c>
      <c r="B68" s="4" t="s">
        <v>393</v>
      </c>
      <c r="C68" s="4" t="str">
        <f t="shared" ref="C68:C131" si="3">IF(LEFT(B68,5)="Sobic","Sorghum",IF(LEFT(B68,7)="BGIOSGA","Rice","Maize"))</f>
        <v>Maize</v>
      </c>
      <c r="D68" s="4" t="str">
        <f t="shared" ref="D68:D131" si="4">B68</f>
        <v>GRMZM2G163054_P02</v>
      </c>
      <c r="E68" s="4" t="str">
        <f t="shared" ref="E68:E131" si="5">IF(C68="Sorghum",LEFT(D68,FIND(".",D68,FIND(".",D68)+1)-1),IF(C68="Maize",IFERROR(LEFT(D68,FIND("_P",D68)-1),D68),LEFT(D68,FIND("-PA",D68)-1)))</f>
        <v>GRMZM2G163054</v>
      </c>
    </row>
    <row r="69" spans="1:5" x14ac:dyDescent="0.2">
      <c r="A69" s="4" t="s">
        <v>31</v>
      </c>
      <c r="B69" s="4" t="s">
        <v>394</v>
      </c>
      <c r="C69" s="4" t="str">
        <f t="shared" si="3"/>
        <v>Maize</v>
      </c>
      <c r="D69" s="4" t="str">
        <f t="shared" si="4"/>
        <v>GRMZM2G163054_P03</v>
      </c>
      <c r="E69" s="4" t="str">
        <f t="shared" si="5"/>
        <v>GRMZM2G163054</v>
      </c>
    </row>
    <row r="70" spans="1:5" x14ac:dyDescent="0.2">
      <c r="A70" s="4" t="s">
        <v>31</v>
      </c>
      <c r="B70" s="4" t="s">
        <v>395</v>
      </c>
      <c r="C70" s="4" t="str">
        <f t="shared" si="3"/>
        <v>Maize</v>
      </c>
      <c r="D70" s="4" t="str">
        <f t="shared" si="4"/>
        <v>GRMZM2G163054_P04</v>
      </c>
      <c r="E70" s="4" t="str">
        <f t="shared" si="5"/>
        <v>GRMZM2G163054</v>
      </c>
    </row>
    <row r="71" spans="1:5" x14ac:dyDescent="0.2">
      <c r="A71" s="4" t="s">
        <v>35</v>
      </c>
      <c r="B71" s="4" t="s">
        <v>36</v>
      </c>
      <c r="C71" s="4" t="str">
        <f t="shared" si="3"/>
        <v>Rice</v>
      </c>
      <c r="D71" s="4" t="str">
        <f t="shared" si="4"/>
        <v>BGIOSGA019646-PA</v>
      </c>
      <c r="E71" s="4" t="str">
        <f t="shared" si="5"/>
        <v>BGIOSGA019646</v>
      </c>
    </row>
    <row r="72" spans="1:5" x14ac:dyDescent="0.2">
      <c r="A72" s="4" t="s">
        <v>35</v>
      </c>
      <c r="B72" s="4" t="s">
        <v>396</v>
      </c>
      <c r="C72" s="4" t="str">
        <f t="shared" si="3"/>
        <v>Sorghum</v>
      </c>
      <c r="D72" s="4" t="str">
        <f t="shared" si="4"/>
        <v>Sobic.009G100500.1.p</v>
      </c>
      <c r="E72" s="4" t="str">
        <f t="shared" si="5"/>
        <v>Sobic.009G100500</v>
      </c>
    </row>
    <row r="73" spans="1:5" x14ac:dyDescent="0.2">
      <c r="A73" s="4" t="s">
        <v>35</v>
      </c>
      <c r="B73" s="4" t="s">
        <v>397</v>
      </c>
      <c r="C73" s="4" t="str">
        <f t="shared" si="3"/>
        <v>Sorghum</v>
      </c>
      <c r="D73" s="4" t="str">
        <f t="shared" si="4"/>
        <v>Sobic.009G100500.2.p</v>
      </c>
      <c r="E73" s="4" t="str">
        <f t="shared" si="5"/>
        <v>Sobic.009G100500</v>
      </c>
    </row>
    <row r="74" spans="1:5" x14ac:dyDescent="0.2">
      <c r="A74" s="4" t="s">
        <v>35</v>
      </c>
      <c r="B74" s="4" t="s">
        <v>398</v>
      </c>
      <c r="C74" s="4" t="str">
        <f t="shared" si="3"/>
        <v>Maize</v>
      </c>
      <c r="D74" s="4" t="str">
        <f t="shared" si="4"/>
        <v>GRMZM2G012724_P01</v>
      </c>
      <c r="E74" s="4" t="str">
        <f t="shared" si="5"/>
        <v>GRMZM2G012724</v>
      </c>
    </row>
    <row r="75" spans="1:5" x14ac:dyDescent="0.2">
      <c r="A75" s="4" t="s">
        <v>35</v>
      </c>
      <c r="B75" s="4" t="s">
        <v>399</v>
      </c>
      <c r="C75" s="4" t="str">
        <f t="shared" si="3"/>
        <v>Maize</v>
      </c>
      <c r="D75" s="4" t="str">
        <f t="shared" si="4"/>
        <v>GRMZM2G012724_P02</v>
      </c>
      <c r="E75" s="4" t="str">
        <f t="shared" si="5"/>
        <v>GRMZM2G012724</v>
      </c>
    </row>
    <row r="76" spans="1:5" x14ac:dyDescent="0.2">
      <c r="A76" s="4" t="s">
        <v>35</v>
      </c>
      <c r="B76" s="4" t="s">
        <v>400</v>
      </c>
      <c r="C76" s="4" t="str">
        <f t="shared" si="3"/>
        <v>Maize</v>
      </c>
      <c r="D76" s="4" t="str">
        <f t="shared" si="4"/>
        <v>GRMZM2G012724_P04</v>
      </c>
      <c r="E76" s="4" t="str">
        <f t="shared" si="5"/>
        <v>GRMZM2G012724</v>
      </c>
    </row>
    <row r="77" spans="1:5" x14ac:dyDescent="0.2">
      <c r="A77" s="4" t="s">
        <v>35</v>
      </c>
      <c r="B77" s="4" t="s">
        <v>401</v>
      </c>
      <c r="C77" s="4" t="str">
        <f t="shared" si="3"/>
        <v>Maize</v>
      </c>
      <c r="D77" s="4" t="str">
        <f t="shared" si="4"/>
        <v>GRMZM2G449681_P01</v>
      </c>
      <c r="E77" s="4" t="str">
        <f t="shared" si="5"/>
        <v>GRMZM2G449681</v>
      </c>
    </row>
    <row r="78" spans="1:5" x14ac:dyDescent="0.2">
      <c r="A78" s="4" t="s">
        <v>39</v>
      </c>
      <c r="B78" s="4" t="s">
        <v>402</v>
      </c>
      <c r="C78" s="4" t="str">
        <f t="shared" si="3"/>
        <v>Rice</v>
      </c>
      <c r="D78" s="4" t="str">
        <f t="shared" si="4"/>
        <v>BGIOSGA034613-PA</v>
      </c>
      <c r="E78" s="4" t="str">
        <f t="shared" si="5"/>
        <v>BGIOSGA034613</v>
      </c>
    </row>
    <row r="79" spans="1:5" x14ac:dyDescent="0.2">
      <c r="A79" s="4" t="s">
        <v>39</v>
      </c>
      <c r="B79" s="4" t="s">
        <v>403</v>
      </c>
      <c r="C79" s="4" t="str">
        <f t="shared" si="3"/>
        <v>Rice</v>
      </c>
      <c r="D79" s="4" t="str">
        <f t="shared" si="4"/>
        <v>BGIOSGA036757-PA</v>
      </c>
      <c r="E79" s="4" t="str">
        <f t="shared" si="5"/>
        <v>BGIOSGA036757</v>
      </c>
    </row>
    <row r="80" spans="1:5" x14ac:dyDescent="0.2">
      <c r="A80" s="4" t="s">
        <v>39</v>
      </c>
      <c r="B80" s="4" t="s">
        <v>404</v>
      </c>
      <c r="C80" s="4" t="str">
        <f t="shared" si="3"/>
        <v>Sorghum</v>
      </c>
      <c r="D80" s="4" t="str">
        <f t="shared" si="4"/>
        <v>Sobic.005G013800.1.p</v>
      </c>
      <c r="E80" s="4" t="str">
        <f t="shared" si="5"/>
        <v>Sobic.005G013800</v>
      </c>
    </row>
    <row r="81" spans="1:5" x14ac:dyDescent="0.2">
      <c r="A81" s="4" t="s">
        <v>39</v>
      </c>
      <c r="B81" s="4" t="s">
        <v>405</v>
      </c>
      <c r="C81" s="4" t="str">
        <f t="shared" si="3"/>
        <v>Sorghum</v>
      </c>
      <c r="D81" s="4" t="str">
        <f t="shared" si="4"/>
        <v>Sobic.005G013800.2.p</v>
      </c>
      <c r="E81" s="4" t="str">
        <f t="shared" si="5"/>
        <v>Sobic.005G013800</v>
      </c>
    </row>
    <row r="82" spans="1:5" x14ac:dyDescent="0.2">
      <c r="A82" s="4" t="s">
        <v>39</v>
      </c>
      <c r="B82" s="4" t="s">
        <v>406</v>
      </c>
      <c r="C82" s="4" t="str">
        <f t="shared" si="3"/>
        <v>Sorghum</v>
      </c>
      <c r="D82" s="4" t="str">
        <f t="shared" si="4"/>
        <v>Sobic.008G028800.1.p</v>
      </c>
      <c r="E82" s="4" t="str">
        <f t="shared" si="5"/>
        <v>Sobic.008G028800</v>
      </c>
    </row>
    <row r="83" spans="1:5" x14ac:dyDescent="0.2">
      <c r="A83" s="4" t="s">
        <v>39</v>
      </c>
      <c r="B83" s="4" t="s">
        <v>407</v>
      </c>
      <c r="C83" s="4" t="str">
        <f t="shared" si="3"/>
        <v>Sorghum</v>
      </c>
      <c r="D83" s="4" t="str">
        <f t="shared" si="4"/>
        <v>Sobic.008G029200.1.p</v>
      </c>
      <c r="E83" s="4" t="str">
        <f t="shared" si="5"/>
        <v>Sobic.008G029200</v>
      </c>
    </row>
    <row r="84" spans="1:5" x14ac:dyDescent="0.2">
      <c r="A84" s="4" t="s">
        <v>39</v>
      </c>
      <c r="B84" s="4" t="s">
        <v>42</v>
      </c>
      <c r="C84" s="4" t="str">
        <f t="shared" si="3"/>
        <v>Maize</v>
      </c>
      <c r="D84" s="4" t="str">
        <f t="shared" si="4"/>
        <v>GRMZM2G441031_P01</v>
      </c>
      <c r="E84" s="4" t="str">
        <f t="shared" si="5"/>
        <v>GRMZM2G441031</v>
      </c>
    </row>
    <row r="85" spans="1:5" x14ac:dyDescent="0.2">
      <c r="A85" s="4" t="s">
        <v>43</v>
      </c>
      <c r="B85" s="4" t="s">
        <v>44</v>
      </c>
      <c r="C85" s="4" t="str">
        <f t="shared" si="3"/>
        <v>Rice</v>
      </c>
      <c r="D85" s="4" t="str">
        <f t="shared" si="4"/>
        <v>BGIOSGA003134-PA</v>
      </c>
      <c r="E85" s="4" t="str">
        <f t="shared" si="5"/>
        <v>BGIOSGA003134</v>
      </c>
    </row>
    <row r="86" spans="1:5" x14ac:dyDescent="0.2">
      <c r="A86" s="4" t="s">
        <v>43</v>
      </c>
      <c r="B86" s="4" t="s">
        <v>408</v>
      </c>
      <c r="C86" s="4" t="str">
        <f t="shared" si="3"/>
        <v>Sorghum</v>
      </c>
      <c r="D86" s="4" t="str">
        <f t="shared" si="4"/>
        <v>Sobic.003G000600.1.p</v>
      </c>
      <c r="E86" s="4" t="str">
        <f t="shared" si="5"/>
        <v>Sobic.003G000600</v>
      </c>
    </row>
    <row r="87" spans="1:5" x14ac:dyDescent="0.2">
      <c r="A87" s="4" t="s">
        <v>43</v>
      </c>
      <c r="B87" s="4" t="s">
        <v>409</v>
      </c>
      <c r="C87" s="4" t="str">
        <f t="shared" si="3"/>
        <v>Sorghum</v>
      </c>
      <c r="D87" s="4" t="str">
        <f t="shared" si="4"/>
        <v>Sobic.003G000600.2.p</v>
      </c>
      <c r="E87" s="4" t="str">
        <f t="shared" si="5"/>
        <v>Sobic.003G000600</v>
      </c>
    </row>
    <row r="88" spans="1:5" x14ac:dyDescent="0.2">
      <c r="A88" s="4" t="s">
        <v>43</v>
      </c>
      <c r="B88" s="4" t="s">
        <v>410</v>
      </c>
      <c r="C88" s="4" t="str">
        <f t="shared" si="3"/>
        <v>Maize</v>
      </c>
      <c r="D88" s="4" t="str">
        <f t="shared" si="4"/>
        <v>GRMZM5G871347_P01</v>
      </c>
      <c r="E88" s="4" t="str">
        <f t="shared" si="5"/>
        <v>GRMZM5G871347</v>
      </c>
    </row>
    <row r="89" spans="1:5" x14ac:dyDescent="0.2">
      <c r="A89" s="4" t="s">
        <v>43</v>
      </c>
      <c r="B89" s="4" t="s">
        <v>411</v>
      </c>
      <c r="C89" s="4" t="str">
        <f t="shared" si="3"/>
        <v>Maize</v>
      </c>
      <c r="D89" s="4" t="str">
        <f t="shared" si="4"/>
        <v>GRMZM5G871347_P02</v>
      </c>
      <c r="E89" s="4" t="str">
        <f t="shared" si="5"/>
        <v>GRMZM5G871347</v>
      </c>
    </row>
    <row r="90" spans="1:5" x14ac:dyDescent="0.2">
      <c r="A90" s="4" t="s">
        <v>43</v>
      </c>
      <c r="B90" s="4" t="s">
        <v>412</v>
      </c>
      <c r="C90" s="4" t="str">
        <f t="shared" si="3"/>
        <v>Maize</v>
      </c>
      <c r="D90" s="4" t="str">
        <f t="shared" si="4"/>
        <v>GRMZM5G871347_P03</v>
      </c>
      <c r="E90" s="4" t="str">
        <f t="shared" si="5"/>
        <v>GRMZM5G871347</v>
      </c>
    </row>
    <row r="91" spans="1:5" x14ac:dyDescent="0.2">
      <c r="A91" s="4" t="s">
        <v>47</v>
      </c>
      <c r="B91" s="4" t="s">
        <v>413</v>
      </c>
      <c r="C91" s="4" t="str">
        <f t="shared" si="3"/>
        <v>Rice</v>
      </c>
      <c r="D91" s="4" t="str">
        <f t="shared" si="4"/>
        <v>BGIOSGA004705-PA</v>
      </c>
      <c r="E91" s="4" t="str">
        <f t="shared" si="5"/>
        <v>BGIOSGA004705</v>
      </c>
    </row>
    <row r="92" spans="1:5" x14ac:dyDescent="0.2">
      <c r="A92" s="4" t="s">
        <v>47</v>
      </c>
      <c r="B92" s="4" t="s">
        <v>414</v>
      </c>
      <c r="C92" s="4" t="str">
        <f t="shared" si="3"/>
        <v>Rice</v>
      </c>
      <c r="D92" s="4" t="str">
        <f t="shared" si="4"/>
        <v>BGIOSGA017860-PA</v>
      </c>
      <c r="E92" s="4" t="str">
        <f t="shared" si="5"/>
        <v>BGIOSGA017860</v>
      </c>
    </row>
    <row r="93" spans="1:5" x14ac:dyDescent="0.2">
      <c r="A93" s="4" t="s">
        <v>47</v>
      </c>
      <c r="B93" s="4" t="s">
        <v>415</v>
      </c>
      <c r="C93" s="4" t="str">
        <f t="shared" si="3"/>
        <v>Rice</v>
      </c>
      <c r="D93" s="4" t="str">
        <f t="shared" si="4"/>
        <v>BGIOSGA030346-PA</v>
      </c>
      <c r="E93" s="4" t="str">
        <f t="shared" si="5"/>
        <v>BGIOSGA030346</v>
      </c>
    </row>
    <row r="94" spans="1:5" x14ac:dyDescent="0.2">
      <c r="A94" s="4" t="s">
        <v>47</v>
      </c>
      <c r="B94" s="4" t="s">
        <v>49</v>
      </c>
      <c r="C94" s="4" t="str">
        <f t="shared" si="3"/>
        <v>Sorghum</v>
      </c>
      <c r="D94" s="4" t="str">
        <f t="shared" si="4"/>
        <v>Sobic.003G337900.1.p</v>
      </c>
      <c r="E94" s="4" t="str">
        <f t="shared" si="5"/>
        <v>Sobic.003G337900</v>
      </c>
    </row>
    <row r="95" spans="1:5" x14ac:dyDescent="0.2">
      <c r="A95" s="4" t="s">
        <v>47</v>
      </c>
      <c r="B95" s="4" t="s">
        <v>416</v>
      </c>
      <c r="C95" s="4" t="str">
        <f t="shared" si="3"/>
        <v>Maize</v>
      </c>
      <c r="D95" s="4" t="str">
        <f t="shared" si="4"/>
        <v>GRMZM2G059562_P01</v>
      </c>
      <c r="E95" s="4" t="str">
        <f t="shared" si="5"/>
        <v>GRMZM2G059562</v>
      </c>
    </row>
    <row r="96" spans="1:5" x14ac:dyDescent="0.2">
      <c r="A96" s="4" t="s">
        <v>47</v>
      </c>
      <c r="B96" s="4" t="s">
        <v>417</v>
      </c>
      <c r="C96" s="4" t="str">
        <f t="shared" si="3"/>
        <v>Maize</v>
      </c>
      <c r="D96" s="4" t="str">
        <f t="shared" si="4"/>
        <v>GRMZM2G432583_P01</v>
      </c>
      <c r="E96" s="4" t="str">
        <f t="shared" si="5"/>
        <v>GRMZM2G432583</v>
      </c>
    </row>
    <row r="97" spans="1:5" x14ac:dyDescent="0.2">
      <c r="A97" s="4" t="s">
        <v>51</v>
      </c>
      <c r="B97" s="4" t="s">
        <v>418</v>
      </c>
      <c r="C97" s="4" t="str">
        <f t="shared" si="3"/>
        <v>Rice</v>
      </c>
      <c r="D97" s="4" t="str">
        <f t="shared" si="4"/>
        <v>BGIOSGA004722-PA</v>
      </c>
      <c r="E97" s="4" t="str">
        <f t="shared" si="5"/>
        <v>BGIOSGA004722</v>
      </c>
    </row>
    <row r="98" spans="1:5" x14ac:dyDescent="0.2">
      <c r="A98" s="4" t="s">
        <v>51</v>
      </c>
      <c r="B98" s="4" t="s">
        <v>419</v>
      </c>
      <c r="C98" s="4" t="str">
        <f t="shared" si="3"/>
        <v>Rice</v>
      </c>
      <c r="D98" s="4" t="str">
        <f t="shared" si="4"/>
        <v>BGIOSGA017876-PA</v>
      </c>
      <c r="E98" s="4" t="str">
        <f t="shared" si="5"/>
        <v>BGIOSGA017876</v>
      </c>
    </row>
    <row r="99" spans="1:5" x14ac:dyDescent="0.2">
      <c r="A99" s="4" t="s">
        <v>51</v>
      </c>
      <c r="B99" s="4" t="s">
        <v>420</v>
      </c>
      <c r="C99" s="4" t="str">
        <f t="shared" si="3"/>
        <v>Sorghum</v>
      </c>
      <c r="D99" s="4" t="str">
        <f t="shared" si="4"/>
        <v>Sobic.003G341100.1.p</v>
      </c>
      <c r="E99" s="4" t="str">
        <f t="shared" si="5"/>
        <v>Sobic.003G341100</v>
      </c>
    </row>
    <row r="100" spans="1:5" x14ac:dyDescent="0.2">
      <c r="A100" s="4" t="s">
        <v>51</v>
      </c>
      <c r="B100" s="4" t="s">
        <v>421</v>
      </c>
      <c r="C100" s="4" t="str">
        <f t="shared" si="3"/>
        <v>Sorghum</v>
      </c>
      <c r="D100" s="4" t="str">
        <f t="shared" si="4"/>
        <v>Sobic.009G171600.1.p</v>
      </c>
      <c r="E100" s="4" t="str">
        <f t="shared" si="5"/>
        <v>Sobic.009G171600</v>
      </c>
    </row>
    <row r="101" spans="1:5" x14ac:dyDescent="0.2">
      <c r="A101" s="4" t="s">
        <v>51</v>
      </c>
      <c r="B101" s="4" t="s">
        <v>422</v>
      </c>
      <c r="C101" s="4" t="str">
        <f t="shared" si="3"/>
        <v>Maize</v>
      </c>
      <c r="D101" s="4" t="str">
        <f t="shared" si="4"/>
        <v>GRMZM2G148087_P01</v>
      </c>
      <c r="E101" s="4" t="str">
        <f t="shared" si="5"/>
        <v>GRMZM2G148087</v>
      </c>
    </row>
    <row r="102" spans="1:5" x14ac:dyDescent="0.2">
      <c r="A102" s="4" t="s">
        <v>51</v>
      </c>
      <c r="B102" s="4" t="s">
        <v>423</v>
      </c>
      <c r="C102" s="4" t="str">
        <f t="shared" si="3"/>
        <v>Maize</v>
      </c>
      <c r="D102" s="4" t="str">
        <f t="shared" si="4"/>
        <v>GRMZM2G169966_P01</v>
      </c>
      <c r="E102" s="4" t="str">
        <f t="shared" si="5"/>
        <v>GRMZM2G169966</v>
      </c>
    </row>
    <row r="103" spans="1:5" x14ac:dyDescent="0.2">
      <c r="A103" s="4" t="s">
        <v>55</v>
      </c>
      <c r="B103" s="4" t="s">
        <v>424</v>
      </c>
      <c r="C103" s="4" t="str">
        <f t="shared" si="3"/>
        <v>Rice</v>
      </c>
      <c r="D103" s="4" t="str">
        <f t="shared" si="4"/>
        <v>BGIOSGA010657-PA</v>
      </c>
      <c r="E103" s="4" t="str">
        <f t="shared" si="5"/>
        <v>BGIOSGA010657</v>
      </c>
    </row>
    <row r="104" spans="1:5" x14ac:dyDescent="0.2">
      <c r="A104" s="4" t="s">
        <v>55</v>
      </c>
      <c r="B104" s="4" t="s">
        <v>425</v>
      </c>
      <c r="C104" s="4" t="str">
        <f t="shared" si="3"/>
        <v>Rice</v>
      </c>
      <c r="D104" s="4" t="str">
        <f t="shared" si="4"/>
        <v>BGIOSGA023966-PA</v>
      </c>
      <c r="E104" s="4" t="str">
        <f t="shared" si="5"/>
        <v>BGIOSGA023966</v>
      </c>
    </row>
    <row r="105" spans="1:5" x14ac:dyDescent="0.2">
      <c r="A105" s="4" t="s">
        <v>55</v>
      </c>
      <c r="B105" s="4" t="s">
        <v>57</v>
      </c>
      <c r="C105" s="4" t="str">
        <f t="shared" si="3"/>
        <v>Sorghum</v>
      </c>
      <c r="D105" s="4" t="str">
        <f t="shared" si="4"/>
        <v>Sobic.001G332500.1.p</v>
      </c>
      <c r="E105" s="4" t="str">
        <f t="shared" si="5"/>
        <v>Sobic.001G332500</v>
      </c>
    </row>
    <row r="106" spans="1:5" x14ac:dyDescent="0.2">
      <c r="A106" s="4" t="s">
        <v>55</v>
      </c>
      <c r="B106" s="4" t="s">
        <v>426</v>
      </c>
      <c r="C106" s="4" t="str">
        <f t="shared" si="3"/>
        <v>Maize</v>
      </c>
      <c r="D106" s="4" t="str">
        <f t="shared" si="4"/>
        <v>GRMZM2G171428_P01</v>
      </c>
      <c r="E106" s="4" t="str">
        <f t="shared" si="5"/>
        <v>GRMZM2G171428</v>
      </c>
    </row>
    <row r="107" spans="1:5" x14ac:dyDescent="0.2">
      <c r="A107" s="4" t="s">
        <v>55</v>
      </c>
      <c r="B107" s="4" t="s">
        <v>427</v>
      </c>
      <c r="C107" s="4" t="str">
        <f t="shared" si="3"/>
        <v>Maize</v>
      </c>
      <c r="D107" s="4" t="str">
        <f t="shared" si="4"/>
        <v>GRMZM2G171428_P02</v>
      </c>
      <c r="E107" s="4" t="str">
        <f t="shared" si="5"/>
        <v>GRMZM2G171428</v>
      </c>
    </row>
    <row r="108" spans="1:5" x14ac:dyDescent="0.2">
      <c r="A108" s="4" t="s">
        <v>55</v>
      </c>
      <c r="B108" s="4" t="s">
        <v>428</v>
      </c>
      <c r="C108" s="4" t="str">
        <f t="shared" si="3"/>
        <v>Maize</v>
      </c>
      <c r="D108" s="4" t="str">
        <f t="shared" si="4"/>
        <v>GRMZM2G425430_P01</v>
      </c>
      <c r="E108" s="4" t="str">
        <f t="shared" si="5"/>
        <v>GRMZM2G425430</v>
      </c>
    </row>
    <row r="109" spans="1:5" x14ac:dyDescent="0.2">
      <c r="A109" s="4" t="s">
        <v>59</v>
      </c>
      <c r="B109" s="4" t="s">
        <v>429</v>
      </c>
      <c r="C109" s="4" t="str">
        <f t="shared" si="3"/>
        <v>Rice</v>
      </c>
      <c r="D109" s="4" t="str">
        <f t="shared" si="4"/>
        <v>BGIOSGA014175-PA</v>
      </c>
      <c r="E109" s="4" t="str">
        <f t="shared" si="5"/>
        <v>BGIOSGA014175</v>
      </c>
    </row>
    <row r="110" spans="1:5" x14ac:dyDescent="0.2">
      <c r="A110" s="4" t="s">
        <v>59</v>
      </c>
      <c r="B110" s="4" t="s">
        <v>430</v>
      </c>
      <c r="C110" s="4" t="str">
        <f t="shared" si="3"/>
        <v>Rice</v>
      </c>
      <c r="D110" s="4" t="str">
        <f t="shared" si="4"/>
        <v>BGIOSGA027488-PA</v>
      </c>
      <c r="E110" s="4" t="str">
        <f t="shared" si="5"/>
        <v>BGIOSGA027488</v>
      </c>
    </row>
    <row r="111" spans="1:5" x14ac:dyDescent="0.2">
      <c r="A111" s="4" t="s">
        <v>59</v>
      </c>
      <c r="B111" s="4" t="s">
        <v>431</v>
      </c>
      <c r="C111" s="4" t="str">
        <f t="shared" si="3"/>
        <v>Rice</v>
      </c>
      <c r="D111" s="4" t="str">
        <f t="shared" si="4"/>
        <v>BGIOSGA027489-PA</v>
      </c>
      <c r="E111" s="4" t="str">
        <f t="shared" si="5"/>
        <v>BGIOSGA027489</v>
      </c>
    </row>
    <row r="112" spans="1:5" x14ac:dyDescent="0.2">
      <c r="A112" s="4" t="s">
        <v>59</v>
      </c>
      <c r="B112" s="4" t="s">
        <v>432</v>
      </c>
      <c r="C112" s="4" t="str">
        <f t="shared" si="3"/>
        <v>Rice</v>
      </c>
      <c r="D112" s="4" t="str">
        <f t="shared" si="4"/>
        <v>BGIOSGA027491-PA</v>
      </c>
      <c r="E112" s="4" t="str">
        <f t="shared" si="5"/>
        <v>BGIOSGA027491</v>
      </c>
    </row>
    <row r="113" spans="1:5" x14ac:dyDescent="0.2">
      <c r="A113" s="4" t="s">
        <v>59</v>
      </c>
      <c r="B113" s="4" t="s">
        <v>433</v>
      </c>
      <c r="C113" s="4" t="str">
        <f t="shared" si="3"/>
        <v>Rice</v>
      </c>
      <c r="D113" s="4" t="str">
        <f t="shared" si="4"/>
        <v>BGIOSGA027492-PA</v>
      </c>
      <c r="E113" s="4" t="str">
        <f t="shared" si="5"/>
        <v>BGIOSGA027492</v>
      </c>
    </row>
    <row r="114" spans="1:5" x14ac:dyDescent="0.2">
      <c r="A114" s="4" t="s">
        <v>59</v>
      </c>
      <c r="B114" s="4" t="s">
        <v>61</v>
      </c>
      <c r="C114" s="4" t="str">
        <f t="shared" si="3"/>
        <v>Sorghum</v>
      </c>
      <c r="D114" s="4" t="str">
        <f t="shared" si="4"/>
        <v>Sobic.007G072133.1.p</v>
      </c>
      <c r="E114" s="4" t="str">
        <f t="shared" si="5"/>
        <v>Sobic.007G072133</v>
      </c>
    </row>
    <row r="115" spans="1:5" x14ac:dyDescent="0.2">
      <c r="A115" s="4" t="s">
        <v>62</v>
      </c>
      <c r="B115" s="4" t="s">
        <v>63</v>
      </c>
      <c r="C115" s="4" t="str">
        <f t="shared" si="3"/>
        <v>Rice</v>
      </c>
      <c r="D115" s="4" t="str">
        <f t="shared" si="4"/>
        <v>BGIOSGA014906-PA</v>
      </c>
      <c r="E115" s="4" t="str">
        <f t="shared" si="5"/>
        <v>BGIOSGA014906</v>
      </c>
    </row>
    <row r="116" spans="1:5" x14ac:dyDescent="0.2">
      <c r="A116" s="4" t="s">
        <v>62</v>
      </c>
      <c r="B116" s="4" t="s">
        <v>434</v>
      </c>
      <c r="C116" s="4" t="str">
        <f t="shared" si="3"/>
        <v>Sorghum</v>
      </c>
      <c r="D116" s="4" t="str">
        <f t="shared" si="4"/>
        <v>Sobic.006G115700.1.p</v>
      </c>
      <c r="E116" s="4" t="str">
        <f t="shared" si="5"/>
        <v>Sobic.006G115700</v>
      </c>
    </row>
    <row r="117" spans="1:5" x14ac:dyDescent="0.2">
      <c r="A117" s="4" t="s">
        <v>62</v>
      </c>
      <c r="B117" s="4" t="s">
        <v>435</v>
      </c>
      <c r="C117" s="4" t="str">
        <f t="shared" si="3"/>
        <v>Sorghum</v>
      </c>
      <c r="D117" s="4" t="str">
        <f t="shared" si="4"/>
        <v>Sobic.006G115700.2.p</v>
      </c>
      <c r="E117" s="4" t="str">
        <f t="shared" si="5"/>
        <v>Sobic.006G115700</v>
      </c>
    </row>
    <row r="118" spans="1:5" x14ac:dyDescent="0.2">
      <c r="A118" s="4" t="s">
        <v>62</v>
      </c>
      <c r="B118" s="4" t="s">
        <v>436</v>
      </c>
      <c r="C118" s="4" t="str">
        <f t="shared" si="3"/>
        <v>Maize</v>
      </c>
      <c r="D118" s="4" t="str">
        <f t="shared" si="4"/>
        <v>GRMZM2G031963_P01</v>
      </c>
      <c r="E118" s="4" t="str">
        <f t="shared" si="5"/>
        <v>GRMZM2G031963</v>
      </c>
    </row>
    <row r="119" spans="1:5" x14ac:dyDescent="0.2">
      <c r="A119" s="4" t="s">
        <v>62</v>
      </c>
      <c r="B119" s="4" t="s">
        <v>437</v>
      </c>
      <c r="C119" s="4" t="str">
        <f t="shared" si="3"/>
        <v>Maize</v>
      </c>
      <c r="D119" s="4" t="str">
        <f t="shared" si="4"/>
        <v>GRMZM5G816457_P01</v>
      </c>
      <c r="E119" s="4" t="str">
        <f t="shared" si="5"/>
        <v>GRMZM5G816457</v>
      </c>
    </row>
    <row r="120" spans="1:5" x14ac:dyDescent="0.2">
      <c r="A120" s="4" t="s">
        <v>62</v>
      </c>
      <c r="B120" s="4" t="s">
        <v>438</v>
      </c>
      <c r="C120" s="4" t="str">
        <f t="shared" si="3"/>
        <v>Maize</v>
      </c>
      <c r="D120" s="4" t="str">
        <f t="shared" si="4"/>
        <v>GRMZM5G816457_P02</v>
      </c>
      <c r="E120" s="4" t="str">
        <f t="shared" si="5"/>
        <v>GRMZM5G816457</v>
      </c>
    </row>
    <row r="121" spans="1:5" x14ac:dyDescent="0.2">
      <c r="A121" s="4" t="s">
        <v>66</v>
      </c>
      <c r="B121" s="4" t="s">
        <v>439</v>
      </c>
      <c r="C121" s="4" t="str">
        <f t="shared" si="3"/>
        <v>Rice</v>
      </c>
      <c r="D121" s="4" t="str">
        <f t="shared" si="4"/>
        <v>BGIOSGA026734-PA</v>
      </c>
      <c r="E121" s="4" t="str">
        <f t="shared" si="5"/>
        <v>BGIOSGA026734</v>
      </c>
    </row>
    <row r="122" spans="1:5" x14ac:dyDescent="0.2">
      <c r="A122" s="4" t="s">
        <v>66</v>
      </c>
      <c r="B122" s="4" t="s">
        <v>440</v>
      </c>
      <c r="C122" s="4" t="str">
        <f t="shared" si="3"/>
        <v>Rice</v>
      </c>
      <c r="D122" s="4" t="str">
        <f t="shared" si="4"/>
        <v>BGIOSGA029574-PA</v>
      </c>
      <c r="E122" s="4" t="str">
        <f t="shared" si="5"/>
        <v>BGIOSGA029574</v>
      </c>
    </row>
    <row r="123" spans="1:5" x14ac:dyDescent="0.2">
      <c r="A123" s="4" t="s">
        <v>66</v>
      </c>
      <c r="B123" s="4" t="s">
        <v>441</v>
      </c>
      <c r="C123" s="4" t="str">
        <f t="shared" si="3"/>
        <v>Sorghum</v>
      </c>
      <c r="D123" s="4" t="str">
        <f t="shared" si="4"/>
        <v>Sobic.002G242500.1.p</v>
      </c>
      <c r="E123" s="4" t="str">
        <f t="shared" si="5"/>
        <v>Sobic.002G242500</v>
      </c>
    </row>
    <row r="124" spans="1:5" x14ac:dyDescent="0.2">
      <c r="A124" s="4" t="s">
        <v>66</v>
      </c>
      <c r="B124" s="4" t="s">
        <v>442</v>
      </c>
      <c r="C124" s="4" t="str">
        <f t="shared" si="3"/>
        <v>Sorghum</v>
      </c>
      <c r="D124" s="4" t="str">
        <f t="shared" si="4"/>
        <v>Sobic.002G242500.2.p</v>
      </c>
      <c r="E124" s="4" t="str">
        <f t="shared" si="5"/>
        <v>Sobic.002G242500</v>
      </c>
    </row>
    <row r="125" spans="1:5" x14ac:dyDescent="0.2">
      <c r="A125" s="4" t="s">
        <v>66</v>
      </c>
      <c r="B125" s="4" t="s">
        <v>443</v>
      </c>
      <c r="C125" s="4" t="str">
        <f t="shared" si="3"/>
        <v>Maize</v>
      </c>
      <c r="D125" s="4" t="str">
        <f t="shared" si="4"/>
        <v>GRMZM2G151407_P01</v>
      </c>
      <c r="E125" s="4" t="str">
        <f t="shared" si="5"/>
        <v>GRMZM2G151407</v>
      </c>
    </row>
    <row r="126" spans="1:5" x14ac:dyDescent="0.2">
      <c r="A126" s="4" t="s">
        <v>66</v>
      </c>
      <c r="B126" s="4" t="s">
        <v>444</v>
      </c>
      <c r="C126" s="4" t="str">
        <f t="shared" si="3"/>
        <v>Maize</v>
      </c>
      <c r="D126" s="4" t="str">
        <f t="shared" si="4"/>
        <v>GRMZM2G151407_P02</v>
      </c>
      <c r="E126" s="4" t="str">
        <f t="shared" si="5"/>
        <v>GRMZM2G151407</v>
      </c>
    </row>
    <row r="127" spans="1:5" x14ac:dyDescent="0.2">
      <c r="A127" s="4" t="s">
        <v>70</v>
      </c>
      <c r="B127" s="4" t="s">
        <v>71</v>
      </c>
      <c r="C127" s="4" t="str">
        <f t="shared" si="3"/>
        <v>Rice</v>
      </c>
      <c r="D127" s="4" t="str">
        <f t="shared" si="4"/>
        <v>BGIOSGA030535-PA</v>
      </c>
      <c r="E127" s="4" t="str">
        <f t="shared" si="5"/>
        <v>BGIOSGA030535</v>
      </c>
    </row>
    <row r="128" spans="1:5" x14ac:dyDescent="0.2">
      <c r="A128" s="4" t="s">
        <v>70</v>
      </c>
      <c r="B128" s="4" t="s">
        <v>72</v>
      </c>
      <c r="C128" s="4" t="str">
        <f t="shared" si="3"/>
        <v>Sorghum</v>
      </c>
      <c r="D128" s="4" t="str">
        <f t="shared" si="4"/>
        <v>Sobic.002G174300.1.p</v>
      </c>
      <c r="E128" s="4" t="str">
        <f t="shared" si="5"/>
        <v>Sobic.002G174300</v>
      </c>
    </row>
    <row r="129" spans="1:5" x14ac:dyDescent="0.2">
      <c r="A129" s="4" t="s">
        <v>70</v>
      </c>
      <c r="B129" s="4" t="s">
        <v>445</v>
      </c>
      <c r="C129" s="4" t="str">
        <f t="shared" si="3"/>
        <v>Maize</v>
      </c>
      <c r="D129" s="4" t="str">
        <f t="shared" si="4"/>
        <v>GRMZM2G025895_P01</v>
      </c>
      <c r="E129" s="4" t="str">
        <f t="shared" si="5"/>
        <v>GRMZM2G025895</v>
      </c>
    </row>
    <row r="130" spans="1:5" x14ac:dyDescent="0.2">
      <c r="A130" s="4" t="s">
        <v>70</v>
      </c>
      <c r="B130" s="4" t="s">
        <v>446</v>
      </c>
      <c r="C130" s="4" t="str">
        <f t="shared" si="3"/>
        <v>Maize</v>
      </c>
      <c r="D130" s="4" t="str">
        <f t="shared" si="4"/>
        <v>GRMZM2G061408_P01</v>
      </c>
      <c r="E130" s="4" t="str">
        <f t="shared" si="5"/>
        <v>GRMZM2G061408</v>
      </c>
    </row>
    <row r="131" spans="1:5" x14ac:dyDescent="0.2">
      <c r="A131" s="4" t="s">
        <v>70</v>
      </c>
      <c r="B131" s="4" t="s">
        <v>447</v>
      </c>
      <c r="C131" s="4" t="str">
        <f t="shared" si="3"/>
        <v>Maize</v>
      </c>
      <c r="D131" s="4" t="str">
        <f t="shared" si="4"/>
        <v>GRMZM2G163418_P01</v>
      </c>
      <c r="E131" s="4" t="str">
        <f t="shared" si="5"/>
        <v>GRMZM2G163418</v>
      </c>
    </row>
    <row r="132" spans="1:5" x14ac:dyDescent="0.2">
      <c r="A132" s="4" t="s">
        <v>70</v>
      </c>
      <c r="B132" s="4" t="s">
        <v>448</v>
      </c>
      <c r="C132" s="4" t="str">
        <f t="shared" ref="C132:C195" si="6">IF(LEFT(B132,5)="Sobic","Sorghum",IF(LEFT(B132,7)="BGIOSGA","Rice","Maize"))</f>
        <v>Maize</v>
      </c>
      <c r="D132" s="4" t="str">
        <f t="shared" ref="D132:D195" si="7">B132</f>
        <v>GRMZM2G163418_P02</v>
      </c>
      <c r="E132" s="4" t="str">
        <f t="shared" ref="E132:E195" si="8">IF(C132="Sorghum",LEFT(D132,FIND(".",D132,FIND(".",D132)+1)-1),IF(C132="Maize",IFERROR(LEFT(D132,FIND("_P",D132)-1),D132),LEFT(D132,FIND("-PA",D132)-1)))</f>
        <v>GRMZM2G163418</v>
      </c>
    </row>
    <row r="133" spans="1:5" x14ac:dyDescent="0.2">
      <c r="A133" s="4" t="s">
        <v>74</v>
      </c>
      <c r="B133" s="4" t="s">
        <v>449</v>
      </c>
      <c r="C133" s="4" t="str">
        <f t="shared" si="6"/>
        <v>Rice</v>
      </c>
      <c r="D133" s="4" t="str">
        <f t="shared" si="7"/>
        <v>BGIOSGA033569-PA</v>
      </c>
      <c r="E133" s="4" t="str">
        <f t="shared" si="8"/>
        <v>BGIOSGA033569</v>
      </c>
    </row>
    <row r="134" spans="1:5" x14ac:dyDescent="0.2">
      <c r="A134" s="4" t="s">
        <v>74</v>
      </c>
      <c r="B134" s="4" t="s">
        <v>450</v>
      </c>
      <c r="C134" s="4" t="str">
        <f t="shared" si="6"/>
        <v>Rice</v>
      </c>
      <c r="D134" s="4" t="str">
        <f t="shared" si="7"/>
        <v>BGIOSGA035675-PA</v>
      </c>
      <c r="E134" s="4" t="str">
        <f t="shared" si="8"/>
        <v>BGIOSGA035675</v>
      </c>
    </row>
    <row r="135" spans="1:5" x14ac:dyDescent="0.2">
      <c r="A135" s="4" t="s">
        <v>74</v>
      </c>
      <c r="B135" s="4" t="s">
        <v>451</v>
      </c>
      <c r="C135" s="4" t="str">
        <f t="shared" si="6"/>
        <v>Rice</v>
      </c>
      <c r="D135" s="4" t="str">
        <f t="shared" si="7"/>
        <v>BGIOSGA035677-PA</v>
      </c>
      <c r="E135" s="4" t="str">
        <f t="shared" si="8"/>
        <v>BGIOSGA035677</v>
      </c>
    </row>
    <row r="136" spans="1:5" x14ac:dyDescent="0.2">
      <c r="A136" s="4" t="s">
        <v>74</v>
      </c>
      <c r="B136" s="4" t="s">
        <v>452</v>
      </c>
      <c r="C136" s="4" t="str">
        <f t="shared" si="6"/>
        <v>Sorghum</v>
      </c>
      <c r="D136" s="4" t="str">
        <f t="shared" si="7"/>
        <v>Sobic.008G174100.1.p</v>
      </c>
      <c r="E136" s="4" t="str">
        <f t="shared" si="8"/>
        <v>Sobic.008G174100</v>
      </c>
    </row>
    <row r="137" spans="1:5" x14ac:dyDescent="0.2">
      <c r="A137" s="4" t="s">
        <v>74</v>
      </c>
      <c r="B137" s="4" t="s">
        <v>453</v>
      </c>
      <c r="C137" s="4" t="str">
        <f t="shared" si="6"/>
        <v>Sorghum</v>
      </c>
      <c r="D137" s="4" t="str">
        <f t="shared" si="7"/>
        <v>Sobic.008G174100.2.p</v>
      </c>
      <c r="E137" s="4" t="str">
        <f t="shared" si="8"/>
        <v>Sobic.008G174100</v>
      </c>
    </row>
    <row r="138" spans="1:5" x14ac:dyDescent="0.2">
      <c r="A138" s="4" t="s">
        <v>74</v>
      </c>
      <c r="B138" s="4" t="s">
        <v>454</v>
      </c>
      <c r="C138" s="4" t="str">
        <f t="shared" si="6"/>
        <v>Sorghum</v>
      </c>
      <c r="D138" s="4" t="str">
        <f t="shared" si="7"/>
        <v>Sobic.008G174100.3.p</v>
      </c>
      <c r="E138" s="4" t="str">
        <f t="shared" si="8"/>
        <v>Sobic.008G174100</v>
      </c>
    </row>
    <row r="139" spans="1:5" x14ac:dyDescent="0.2">
      <c r="A139" s="4" t="s">
        <v>77</v>
      </c>
      <c r="B139" s="4" t="s">
        <v>455</v>
      </c>
      <c r="C139" s="4" t="str">
        <f t="shared" si="6"/>
        <v>Rice</v>
      </c>
      <c r="D139" s="4" t="str">
        <f t="shared" si="7"/>
        <v>BGIOSGA034616-PA</v>
      </c>
      <c r="E139" s="4" t="str">
        <f t="shared" si="8"/>
        <v>BGIOSGA034616</v>
      </c>
    </row>
    <row r="140" spans="1:5" x14ac:dyDescent="0.2">
      <c r="A140" s="4" t="s">
        <v>77</v>
      </c>
      <c r="B140" s="4" t="s">
        <v>456</v>
      </c>
      <c r="C140" s="4" t="str">
        <f t="shared" si="6"/>
        <v>Rice</v>
      </c>
      <c r="D140" s="4" t="str">
        <f t="shared" si="7"/>
        <v>BGIOSGA036760-PA</v>
      </c>
      <c r="E140" s="4" t="str">
        <f t="shared" si="8"/>
        <v>BGIOSGA036760</v>
      </c>
    </row>
    <row r="141" spans="1:5" x14ac:dyDescent="0.2">
      <c r="A141" s="4" t="s">
        <v>77</v>
      </c>
      <c r="B141" s="4" t="s">
        <v>457</v>
      </c>
      <c r="C141" s="4" t="str">
        <f t="shared" si="6"/>
        <v>Sorghum</v>
      </c>
      <c r="D141" s="4" t="str">
        <f t="shared" si="7"/>
        <v>Sobic.005G013400.1.p</v>
      </c>
      <c r="E141" s="4" t="str">
        <f t="shared" si="8"/>
        <v>Sobic.005G013400</v>
      </c>
    </row>
    <row r="142" spans="1:5" x14ac:dyDescent="0.2">
      <c r="A142" s="4" t="s">
        <v>77</v>
      </c>
      <c r="B142" s="4" t="s">
        <v>458</v>
      </c>
      <c r="C142" s="4" t="str">
        <f t="shared" si="6"/>
        <v>Sorghum</v>
      </c>
      <c r="D142" s="4" t="str">
        <f t="shared" si="7"/>
        <v>Sobic.005G013500.1.p</v>
      </c>
      <c r="E142" s="4" t="str">
        <f t="shared" si="8"/>
        <v>Sobic.005G013500</v>
      </c>
    </row>
    <row r="143" spans="1:5" x14ac:dyDescent="0.2">
      <c r="A143" s="4" t="s">
        <v>77</v>
      </c>
      <c r="B143" s="4" t="s">
        <v>459</v>
      </c>
      <c r="C143" s="4" t="str">
        <f t="shared" si="6"/>
        <v>Maize</v>
      </c>
      <c r="D143" s="4" t="str">
        <f t="shared" si="7"/>
        <v>GRMZM2G099593_P01</v>
      </c>
      <c r="E143" s="4" t="str">
        <f t="shared" si="8"/>
        <v>GRMZM2G099593</v>
      </c>
    </row>
    <row r="144" spans="1:5" x14ac:dyDescent="0.2">
      <c r="A144" s="4" t="s">
        <v>77</v>
      </c>
      <c r="B144" s="4" t="s">
        <v>460</v>
      </c>
      <c r="C144" s="4" t="str">
        <f t="shared" si="6"/>
        <v>Maize</v>
      </c>
      <c r="D144" s="4" t="str">
        <f t="shared" si="7"/>
        <v>GRMZM2G461648_P01</v>
      </c>
      <c r="E144" s="4" t="str">
        <f t="shared" si="8"/>
        <v>GRMZM2G461648</v>
      </c>
    </row>
    <row r="145" spans="1:5" x14ac:dyDescent="0.2">
      <c r="A145" s="4" t="s">
        <v>81</v>
      </c>
      <c r="B145" s="4" t="s">
        <v>461</v>
      </c>
      <c r="C145" s="4" t="str">
        <f t="shared" si="6"/>
        <v>Rice</v>
      </c>
      <c r="D145" s="4" t="str">
        <f t="shared" si="7"/>
        <v>BGIOSGA036823-PA</v>
      </c>
      <c r="E145" s="4" t="str">
        <f t="shared" si="8"/>
        <v>BGIOSGA036823</v>
      </c>
    </row>
    <row r="146" spans="1:5" x14ac:dyDescent="0.2">
      <c r="A146" s="4" t="s">
        <v>81</v>
      </c>
      <c r="B146" s="4" t="s">
        <v>462</v>
      </c>
      <c r="C146" s="4" t="str">
        <f t="shared" si="6"/>
        <v>Rice</v>
      </c>
      <c r="D146" s="4" t="str">
        <f t="shared" si="7"/>
        <v>BGIOSGA036825-PA</v>
      </c>
      <c r="E146" s="4" t="str">
        <f t="shared" si="8"/>
        <v>BGIOSGA036825</v>
      </c>
    </row>
    <row r="147" spans="1:5" x14ac:dyDescent="0.2">
      <c r="A147" s="4" t="s">
        <v>81</v>
      </c>
      <c r="B147" s="4" t="s">
        <v>83</v>
      </c>
      <c r="C147" s="4" t="str">
        <f t="shared" si="6"/>
        <v>Sorghum</v>
      </c>
      <c r="D147" s="4" t="str">
        <f t="shared" si="7"/>
        <v>Sobic.007G077466.1.p</v>
      </c>
      <c r="E147" s="4" t="str">
        <f t="shared" si="8"/>
        <v>Sobic.007G077466</v>
      </c>
    </row>
    <row r="148" spans="1:5" x14ac:dyDescent="0.2">
      <c r="A148" s="4" t="s">
        <v>81</v>
      </c>
      <c r="B148" s="4" t="s">
        <v>463</v>
      </c>
      <c r="C148" s="4" t="str">
        <f t="shared" si="6"/>
        <v>Maize</v>
      </c>
      <c r="D148" s="4" t="str">
        <f t="shared" si="7"/>
        <v>GRMZM2G020254_P01</v>
      </c>
      <c r="E148" s="4" t="str">
        <f t="shared" si="8"/>
        <v>GRMZM2G020254</v>
      </c>
    </row>
    <row r="149" spans="1:5" x14ac:dyDescent="0.2">
      <c r="A149" s="4" t="s">
        <v>81</v>
      </c>
      <c r="B149" s="4" t="s">
        <v>464</v>
      </c>
      <c r="C149" s="4" t="str">
        <f t="shared" si="6"/>
        <v>Maize</v>
      </c>
      <c r="D149" s="4" t="str">
        <f t="shared" si="7"/>
        <v>GRMZM2G020254_P02</v>
      </c>
      <c r="E149" s="4" t="str">
        <f t="shared" si="8"/>
        <v>GRMZM2G020254</v>
      </c>
    </row>
    <row r="150" spans="1:5" x14ac:dyDescent="0.2">
      <c r="A150" s="4" t="s">
        <v>81</v>
      </c>
      <c r="B150" s="4" t="s">
        <v>465</v>
      </c>
      <c r="C150" s="4" t="str">
        <f t="shared" si="6"/>
        <v>Maize</v>
      </c>
      <c r="D150" s="4" t="str">
        <f t="shared" si="7"/>
        <v>GRMZM2G020254_P03</v>
      </c>
      <c r="E150" s="4" t="str">
        <f t="shared" si="8"/>
        <v>GRMZM2G020254</v>
      </c>
    </row>
    <row r="151" spans="1:5" x14ac:dyDescent="0.2">
      <c r="A151" s="4" t="s">
        <v>85</v>
      </c>
      <c r="B151" s="4" t="s">
        <v>86</v>
      </c>
      <c r="C151" s="4" t="str">
        <f t="shared" si="6"/>
        <v>Rice</v>
      </c>
      <c r="D151" s="4" t="str">
        <f t="shared" si="7"/>
        <v>BGIOSGA000826-PA</v>
      </c>
      <c r="E151" s="4" t="str">
        <f t="shared" si="8"/>
        <v>BGIOSGA000826</v>
      </c>
    </row>
    <row r="152" spans="1:5" x14ac:dyDescent="0.2">
      <c r="A152" s="4" t="s">
        <v>85</v>
      </c>
      <c r="B152" s="4" t="s">
        <v>87</v>
      </c>
      <c r="C152" s="4" t="str">
        <f t="shared" si="6"/>
        <v>Sorghum</v>
      </c>
      <c r="D152" s="4" t="str">
        <f t="shared" si="7"/>
        <v>Sobic.003G296300.1.p</v>
      </c>
      <c r="E152" s="4" t="str">
        <f t="shared" si="8"/>
        <v>Sobic.003G296300</v>
      </c>
    </row>
    <row r="153" spans="1:5" x14ac:dyDescent="0.2">
      <c r="A153" s="4" t="s">
        <v>85</v>
      </c>
      <c r="B153" s="4" t="s">
        <v>466</v>
      </c>
      <c r="C153" s="4" t="str">
        <f t="shared" si="6"/>
        <v>Maize</v>
      </c>
      <c r="D153" s="4" t="str">
        <f t="shared" si="7"/>
        <v>GRMZM2G141299_P01</v>
      </c>
      <c r="E153" s="4" t="str">
        <f t="shared" si="8"/>
        <v>GRMZM2G141299</v>
      </c>
    </row>
    <row r="154" spans="1:5" x14ac:dyDescent="0.2">
      <c r="A154" s="4" t="s">
        <v>85</v>
      </c>
      <c r="B154" s="4" t="s">
        <v>467</v>
      </c>
      <c r="C154" s="4" t="str">
        <f t="shared" si="6"/>
        <v>Maize</v>
      </c>
      <c r="D154" s="4" t="str">
        <f t="shared" si="7"/>
        <v>GRMZM2G141299_P02</v>
      </c>
      <c r="E154" s="4" t="str">
        <f t="shared" si="8"/>
        <v>GRMZM2G141299</v>
      </c>
    </row>
    <row r="155" spans="1:5" x14ac:dyDescent="0.2">
      <c r="A155" s="4" t="s">
        <v>85</v>
      </c>
      <c r="B155" s="4" t="s">
        <v>468</v>
      </c>
      <c r="C155" s="4" t="str">
        <f t="shared" si="6"/>
        <v>Maize</v>
      </c>
      <c r="D155" s="4" t="str">
        <f t="shared" si="7"/>
        <v>GRMZM2G141299_P03</v>
      </c>
      <c r="E155" s="4" t="str">
        <f t="shared" si="8"/>
        <v>GRMZM2G141299</v>
      </c>
    </row>
    <row r="156" spans="1:5" x14ac:dyDescent="0.2">
      <c r="A156" s="4" t="s">
        <v>89</v>
      </c>
      <c r="B156" s="4" t="s">
        <v>469</v>
      </c>
      <c r="C156" s="4" t="str">
        <f t="shared" si="6"/>
        <v>Rice</v>
      </c>
      <c r="D156" s="4" t="str">
        <f t="shared" si="7"/>
        <v>BGIOSGA008866-PA</v>
      </c>
      <c r="E156" s="4" t="str">
        <f t="shared" si="8"/>
        <v>BGIOSGA008866</v>
      </c>
    </row>
    <row r="157" spans="1:5" x14ac:dyDescent="0.2">
      <c r="A157" s="4" t="s">
        <v>89</v>
      </c>
      <c r="B157" s="4" t="s">
        <v>470</v>
      </c>
      <c r="C157" s="4" t="str">
        <f t="shared" si="6"/>
        <v>Rice</v>
      </c>
      <c r="D157" s="4" t="str">
        <f t="shared" si="7"/>
        <v>BGIOSGA017037-PA</v>
      </c>
      <c r="E157" s="4" t="str">
        <f t="shared" si="8"/>
        <v>BGIOSGA017037</v>
      </c>
    </row>
    <row r="158" spans="1:5" x14ac:dyDescent="0.2">
      <c r="A158" s="4" t="s">
        <v>89</v>
      </c>
      <c r="B158" s="4" t="s">
        <v>471</v>
      </c>
      <c r="C158" s="4" t="str">
        <f t="shared" si="6"/>
        <v>Rice</v>
      </c>
      <c r="D158" s="4" t="str">
        <f t="shared" si="7"/>
        <v>BGIOSGA033505-PA</v>
      </c>
      <c r="E158" s="4" t="str">
        <f t="shared" si="8"/>
        <v>BGIOSGA033505</v>
      </c>
    </row>
    <row r="159" spans="1:5" x14ac:dyDescent="0.2">
      <c r="A159" s="4" t="s">
        <v>89</v>
      </c>
      <c r="B159" s="4" t="s">
        <v>91</v>
      </c>
      <c r="C159" s="4" t="str">
        <f t="shared" si="6"/>
        <v>Sorghum</v>
      </c>
      <c r="D159" s="4" t="str">
        <f t="shared" si="7"/>
        <v>Sobic.006G201000.1.p</v>
      </c>
      <c r="E159" s="4" t="str">
        <f t="shared" si="8"/>
        <v>Sobic.006G201000</v>
      </c>
    </row>
    <row r="160" spans="1:5" x14ac:dyDescent="0.2">
      <c r="A160" s="4" t="s">
        <v>89</v>
      </c>
      <c r="B160" s="4" t="s">
        <v>92</v>
      </c>
      <c r="C160" s="4" t="str">
        <f t="shared" si="6"/>
        <v>Maize</v>
      </c>
      <c r="D160" s="4" t="str">
        <f t="shared" si="7"/>
        <v>GRMZM2G024898_P01</v>
      </c>
      <c r="E160" s="4" t="str">
        <f t="shared" si="8"/>
        <v>GRMZM2G024898</v>
      </c>
    </row>
    <row r="161" spans="1:5" x14ac:dyDescent="0.2">
      <c r="A161" s="4" t="s">
        <v>93</v>
      </c>
      <c r="B161" s="4" t="s">
        <v>94</v>
      </c>
      <c r="C161" s="4" t="str">
        <f t="shared" si="6"/>
        <v>Rice</v>
      </c>
      <c r="D161" s="4" t="str">
        <f t="shared" si="7"/>
        <v>BGIOSGA013535-PA</v>
      </c>
      <c r="E161" s="4" t="str">
        <f t="shared" si="8"/>
        <v>BGIOSGA013535</v>
      </c>
    </row>
    <row r="162" spans="1:5" x14ac:dyDescent="0.2">
      <c r="A162" s="4" t="s">
        <v>93</v>
      </c>
      <c r="B162" s="4" t="s">
        <v>95</v>
      </c>
      <c r="C162" s="4" t="str">
        <f t="shared" si="6"/>
        <v>Sorghum</v>
      </c>
      <c r="D162" s="4" t="str">
        <f t="shared" si="7"/>
        <v>Sobic.001G095500.1.p</v>
      </c>
      <c r="E162" s="4" t="str">
        <f t="shared" si="8"/>
        <v>Sobic.001G095500</v>
      </c>
    </row>
    <row r="163" spans="1:5" x14ac:dyDescent="0.2">
      <c r="A163" s="4" t="s">
        <v>93</v>
      </c>
      <c r="B163" s="4" t="s">
        <v>472</v>
      </c>
      <c r="C163" s="4" t="str">
        <f t="shared" si="6"/>
        <v>Maize</v>
      </c>
      <c r="D163" s="4" t="str">
        <f t="shared" si="7"/>
        <v>GRMZM2G018487_P01</v>
      </c>
      <c r="E163" s="4" t="str">
        <f t="shared" si="8"/>
        <v>GRMZM2G018487</v>
      </c>
    </row>
    <row r="164" spans="1:5" x14ac:dyDescent="0.2">
      <c r="A164" s="4" t="s">
        <v>93</v>
      </c>
      <c r="B164" s="4" t="s">
        <v>473</v>
      </c>
      <c r="C164" s="4" t="str">
        <f t="shared" si="6"/>
        <v>Maize</v>
      </c>
      <c r="D164" s="4" t="str">
        <f t="shared" si="7"/>
        <v>GRMZM2G018487_P02</v>
      </c>
      <c r="E164" s="4" t="str">
        <f t="shared" si="8"/>
        <v>GRMZM2G018487</v>
      </c>
    </row>
    <row r="165" spans="1:5" x14ac:dyDescent="0.2">
      <c r="A165" s="4" t="s">
        <v>93</v>
      </c>
      <c r="B165" s="4" t="s">
        <v>474</v>
      </c>
      <c r="C165" s="4" t="str">
        <f t="shared" si="6"/>
        <v>Maize</v>
      </c>
      <c r="D165" s="4" t="str">
        <f t="shared" si="7"/>
        <v>GRMZM2G147880_P01</v>
      </c>
      <c r="E165" s="4" t="str">
        <f t="shared" si="8"/>
        <v>GRMZM2G147880</v>
      </c>
    </row>
    <row r="166" spans="1:5" x14ac:dyDescent="0.2">
      <c r="A166" s="4" t="s">
        <v>97</v>
      </c>
      <c r="B166" s="4" t="s">
        <v>98</v>
      </c>
      <c r="C166" s="4" t="str">
        <f t="shared" si="6"/>
        <v>Rice</v>
      </c>
      <c r="D166" s="4" t="str">
        <f t="shared" si="7"/>
        <v>BGIOSGA014617-PA</v>
      </c>
      <c r="E166" s="4" t="str">
        <f t="shared" si="8"/>
        <v>BGIOSGA014617</v>
      </c>
    </row>
    <row r="167" spans="1:5" x14ac:dyDescent="0.2">
      <c r="A167" s="4" t="s">
        <v>97</v>
      </c>
      <c r="B167" s="4" t="s">
        <v>475</v>
      </c>
      <c r="C167" s="4" t="str">
        <f t="shared" si="6"/>
        <v>Sorghum</v>
      </c>
      <c r="D167" s="4" t="str">
        <f t="shared" si="7"/>
        <v>Sobic.006G166300.1.p</v>
      </c>
      <c r="E167" s="4" t="str">
        <f t="shared" si="8"/>
        <v>Sobic.006G166300</v>
      </c>
    </row>
    <row r="168" spans="1:5" x14ac:dyDescent="0.2">
      <c r="A168" s="4" t="s">
        <v>97</v>
      </c>
      <c r="B168" s="4" t="s">
        <v>476</v>
      </c>
      <c r="C168" s="4" t="str">
        <f t="shared" si="6"/>
        <v>Sorghum</v>
      </c>
      <c r="D168" s="4" t="str">
        <f t="shared" si="7"/>
        <v>Sobic.006G166300.2.p</v>
      </c>
      <c r="E168" s="4" t="str">
        <f t="shared" si="8"/>
        <v>Sobic.006G166300</v>
      </c>
    </row>
    <row r="169" spans="1:5" x14ac:dyDescent="0.2">
      <c r="A169" s="4" t="s">
        <v>97</v>
      </c>
      <c r="B169" s="4" t="s">
        <v>477</v>
      </c>
      <c r="C169" s="4" t="str">
        <f t="shared" si="6"/>
        <v>Maize</v>
      </c>
      <c r="D169" s="4" t="str">
        <f t="shared" si="7"/>
        <v>GRMZM2G123387_P01</v>
      </c>
      <c r="E169" s="4" t="str">
        <f t="shared" si="8"/>
        <v>GRMZM2G123387</v>
      </c>
    </row>
    <row r="170" spans="1:5" x14ac:dyDescent="0.2">
      <c r="A170" s="4" t="s">
        <v>97</v>
      </c>
      <c r="B170" s="4" t="s">
        <v>478</v>
      </c>
      <c r="C170" s="4" t="str">
        <f t="shared" si="6"/>
        <v>Maize</v>
      </c>
      <c r="D170" s="4" t="str">
        <f t="shared" si="7"/>
        <v>GRMZM2G123387_P02</v>
      </c>
      <c r="E170" s="4" t="str">
        <f t="shared" si="8"/>
        <v>GRMZM2G123387</v>
      </c>
    </row>
    <row r="171" spans="1:5" x14ac:dyDescent="0.2">
      <c r="A171" s="4" t="s">
        <v>101</v>
      </c>
      <c r="B171" s="4" t="s">
        <v>102</v>
      </c>
      <c r="C171" s="4" t="str">
        <f t="shared" si="6"/>
        <v>Rice</v>
      </c>
      <c r="D171" s="4" t="str">
        <f t="shared" si="7"/>
        <v>BGIOSGA020376-PA</v>
      </c>
      <c r="E171" s="4" t="str">
        <f t="shared" si="8"/>
        <v>BGIOSGA020376</v>
      </c>
    </row>
    <row r="172" spans="1:5" x14ac:dyDescent="0.2">
      <c r="A172" s="4" t="s">
        <v>101</v>
      </c>
      <c r="B172" s="4" t="s">
        <v>103</v>
      </c>
      <c r="C172" s="4" t="str">
        <f t="shared" si="6"/>
        <v>Sorghum</v>
      </c>
      <c r="D172" s="4" t="str">
        <f t="shared" si="7"/>
        <v>Sobic.009G234900.1.p</v>
      </c>
      <c r="E172" s="4" t="str">
        <f t="shared" si="8"/>
        <v>Sobic.009G234900</v>
      </c>
    </row>
    <row r="173" spans="1:5" x14ac:dyDescent="0.2">
      <c r="A173" s="4" t="s">
        <v>101</v>
      </c>
      <c r="B173" s="4" t="s">
        <v>479</v>
      </c>
      <c r="C173" s="4" t="str">
        <f t="shared" si="6"/>
        <v>Maize</v>
      </c>
      <c r="D173" s="4" t="str">
        <f t="shared" si="7"/>
        <v>GRMZM2G366795_P01</v>
      </c>
      <c r="E173" s="4" t="str">
        <f t="shared" si="8"/>
        <v>GRMZM2G366795</v>
      </c>
    </row>
    <row r="174" spans="1:5" x14ac:dyDescent="0.2">
      <c r="A174" s="4" t="s">
        <v>101</v>
      </c>
      <c r="B174" s="4" t="s">
        <v>480</v>
      </c>
      <c r="C174" s="4" t="str">
        <f t="shared" si="6"/>
        <v>Maize</v>
      </c>
      <c r="D174" s="4" t="str">
        <f t="shared" si="7"/>
        <v>GRMZM2G366795_P02</v>
      </c>
      <c r="E174" s="4" t="str">
        <f t="shared" si="8"/>
        <v>GRMZM2G366795</v>
      </c>
    </row>
    <row r="175" spans="1:5" x14ac:dyDescent="0.2">
      <c r="A175" s="4" t="s">
        <v>101</v>
      </c>
      <c r="B175" s="4" t="s">
        <v>481</v>
      </c>
      <c r="C175" s="4" t="str">
        <f t="shared" si="6"/>
        <v>Maize</v>
      </c>
      <c r="D175" s="4" t="str">
        <f t="shared" si="7"/>
        <v>GRMZM2G448605_P01</v>
      </c>
      <c r="E175" s="4" t="str">
        <f t="shared" si="8"/>
        <v>GRMZM2G448605</v>
      </c>
    </row>
    <row r="176" spans="1:5" x14ac:dyDescent="0.2">
      <c r="A176" s="4" t="s">
        <v>105</v>
      </c>
      <c r="B176" s="4" t="s">
        <v>482</v>
      </c>
      <c r="C176" s="4" t="str">
        <f t="shared" si="6"/>
        <v>Rice</v>
      </c>
      <c r="D176" s="4" t="str">
        <f t="shared" si="7"/>
        <v>BGIOSGA030113-PA</v>
      </c>
      <c r="E176" s="4" t="str">
        <f t="shared" si="8"/>
        <v>BGIOSGA030113</v>
      </c>
    </row>
    <row r="177" spans="1:5" x14ac:dyDescent="0.2">
      <c r="A177" s="4" t="s">
        <v>105</v>
      </c>
      <c r="B177" s="4" t="s">
        <v>483</v>
      </c>
      <c r="C177" s="4" t="str">
        <f t="shared" si="6"/>
        <v>Rice</v>
      </c>
      <c r="D177" s="4" t="str">
        <f t="shared" si="7"/>
        <v>BGIOSGA034611-PA</v>
      </c>
      <c r="E177" s="4" t="str">
        <f t="shared" si="8"/>
        <v>BGIOSGA034611</v>
      </c>
    </row>
    <row r="178" spans="1:5" x14ac:dyDescent="0.2">
      <c r="A178" s="4" t="s">
        <v>105</v>
      </c>
      <c r="B178" s="4" t="s">
        <v>484</v>
      </c>
      <c r="C178" s="4" t="str">
        <f t="shared" si="6"/>
        <v>Rice</v>
      </c>
      <c r="D178" s="4" t="str">
        <f t="shared" si="7"/>
        <v>BGIOSGA036755-PA</v>
      </c>
      <c r="E178" s="4" t="str">
        <f t="shared" si="8"/>
        <v>BGIOSGA036755</v>
      </c>
    </row>
    <row r="179" spans="1:5" x14ac:dyDescent="0.2">
      <c r="A179" s="4" t="s">
        <v>105</v>
      </c>
      <c r="B179" s="4" t="s">
        <v>107</v>
      </c>
      <c r="C179" s="4" t="str">
        <f t="shared" si="6"/>
        <v>Sorghum</v>
      </c>
      <c r="D179" s="4" t="str">
        <f t="shared" si="7"/>
        <v>Sobic.008G028600.1.p</v>
      </c>
      <c r="E179" s="4" t="str">
        <f t="shared" si="8"/>
        <v>Sobic.008G028600</v>
      </c>
    </row>
    <row r="180" spans="1:5" x14ac:dyDescent="0.2">
      <c r="A180" s="4" t="s">
        <v>105</v>
      </c>
      <c r="B180" s="4" t="s">
        <v>108</v>
      </c>
      <c r="C180" s="4" t="str">
        <f t="shared" si="6"/>
        <v>Maize</v>
      </c>
      <c r="D180" s="4" t="str">
        <f t="shared" si="7"/>
        <v>GRMZM2G005207_P01</v>
      </c>
      <c r="E180" s="4" t="str">
        <f t="shared" si="8"/>
        <v>GRMZM2G005207</v>
      </c>
    </row>
    <row r="181" spans="1:5" x14ac:dyDescent="0.2">
      <c r="A181" s="4" t="s">
        <v>109</v>
      </c>
      <c r="B181" s="4" t="s">
        <v>110</v>
      </c>
      <c r="C181" s="4" t="str">
        <f t="shared" si="6"/>
        <v>Rice</v>
      </c>
      <c r="D181" s="4" t="str">
        <f t="shared" si="7"/>
        <v>BGIOSGA000506-PA</v>
      </c>
      <c r="E181" s="4" t="str">
        <f t="shared" si="8"/>
        <v>BGIOSGA000506</v>
      </c>
    </row>
    <row r="182" spans="1:5" x14ac:dyDescent="0.2">
      <c r="A182" s="4" t="s">
        <v>109</v>
      </c>
      <c r="B182" s="4" t="s">
        <v>485</v>
      </c>
      <c r="C182" s="4" t="str">
        <f t="shared" si="6"/>
        <v>Sorghum</v>
      </c>
      <c r="D182" s="4" t="str">
        <f t="shared" si="7"/>
        <v>Sobic.003G353000.1.p</v>
      </c>
      <c r="E182" s="4" t="str">
        <f t="shared" si="8"/>
        <v>Sobic.003G353000</v>
      </c>
    </row>
    <row r="183" spans="1:5" x14ac:dyDescent="0.2">
      <c r="A183" s="4" t="s">
        <v>109</v>
      </c>
      <c r="B183" s="4" t="s">
        <v>486</v>
      </c>
      <c r="C183" s="4" t="str">
        <f t="shared" si="6"/>
        <v>Sorghum</v>
      </c>
      <c r="D183" s="4" t="str">
        <f t="shared" si="7"/>
        <v>Sobic.003G353000.2.p</v>
      </c>
      <c r="E183" s="4" t="str">
        <f t="shared" si="8"/>
        <v>Sobic.003G353000</v>
      </c>
    </row>
    <row r="184" spans="1:5" x14ac:dyDescent="0.2">
      <c r="A184" s="4" t="s">
        <v>109</v>
      </c>
      <c r="B184" s="4" t="s">
        <v>487</v>
      </c>
      <c r="C184" s="4" t="str">
        <f t="shared" si="6"/>
        <v>Sorghum</v>
      </c>
      <c r="D184" s="4" t="str">
        <f t="shared" si="7"/>
        <v>Sobic.003G353000.3.p</v>
      </c>
      <c r="E184" s="4" t="str">
        <f t="shared" si="8"/>
        <v>Sobic.003G353000</v>
      </c>
    </row>
    <row r="185" spans="1:5" x14ac:dyDescent="0.2">
      <c r="A185" s="4" t="s">
        <v>112</v>
      </c>
      <c r="B185" s="4" t="s">
        <v>113</v>
      </c>
      <c r="C185" s="4" t="str">
        <f t="shared" si="6"/>
        <v>Rice</v>
      </c>
      <c r="D185" s="4" t="str">
        <f t="shared" si="7"/>
        <v>BGIOSGA002913-PA</v>
      </c>
      <c r="E185" s="4" t="str">
        <f t="shared" si="8"/>
        <v>BGIOSGA002913</v>
      </c>
    </row>
    <row r="186" spans="1:5" x14ac:dyDescent="0.2">
      <c r="A186" s="4" t="s">
        <v>112</v>
      </c>
      <c r="B186" s="4" t="s">
        <v>114</v>
      </c>
      <c r="C186" s="4" t="str">
        <f t="shared" si="6"/>
        <v>Sorghum</v>
      </c>
      <c r="D186" s="4" t="str">
        <f t="shared" si="7"/>
        <v>Sobic.003G037500.1.p</v>
      </c>
      <c r="E186" s="4" t="str">
        <f t="shared" si="8"/>
        <v>Sobic.003G037500</v>
      </c>
    </row>
    <row r="187" spans="1:5" x14ac:dyDescent="0.2">
      <c r="A187" s="4" t="s">
        <v>112</v>
      </c>
      <c r="B187" s="4" t="s">
        <v>488</v>
      </c>
      <c r="C187" s="4" t="str">
        <f t="shared" si="6"/>
        <v>Maize</v>
      </c>
      <c r="D187" s="4" t="str">
        <f t="shared" si="7"/>
        <v>GRMZM2G083350_P01</v>
      </c>
      <c r="E187" s="4" t="str">
        <f t="shared" si="8"/>
        <v>GRMZM2G083350</v>
      </c>
    </row>
    <row r="188" spans="1:5" x14ac:dyDescent="0.2">
      <c r="A188" s="4" t="s">
        <v>112</v>
      </c>
      <c r="B188" s="4" t="s">
        <v>489</v>
      </c>
      <c r="C188" s="4" t="str">
        <f t="shared" si="6"/>
        <v>Maize</v>
      </c>
      <c r="D188" s="4" t="str">
        <f t="shared" si="7"/>
        <v>GRMZM2G176489_P01</v>
      </c>
      <c r="E188" s="4" t="str">
        <f t="shared" si="8"/>
        <v>GRMZM2G176489</v>
      </c>
    </row>
    <row r="189" spans="1:5" x14ac:dyDescent="0.2">
      <c r="A189" s="4" t="s">
        <v>116</v>
      </c>
      <c r="B189" s="4" t="s">
        <v>117</v>
      </c>
      <c r="C189" s="4" t="str">
        <f t="shared" si="6"/>
        <v>Rice</v>
      </c>
      <c r="D189" s="4" t="str">
        <f t="shared" si="7"/>
        <v>BGIOSGA004027-PA</v>
      </c>
      <c r="E189" s="4" t="str">
        <f t="shared" si="8"/>
        <v>BGIOSGA004027</v>
      </c>
    </row>
    <row r="190" spans="1:5" x14ac:dyDescent="0.2">
      <c r="A190" s="4" t="s">
        <v>116</v>
      </c>
      <c r="B190" s="4" t="s">
        <v>118</v>
      </c>
      <c r="C190" s="4" t="str">
        <f t="shared" si="6"/>
        <v>Sorghum</v>
      </c>
      <c r="D190" s="4" t="str">
        <f t="shared" si="7"/>
        <v>Sobic.003G227300.1.p</v>
      </c>
      <c r="E190" s="4" t="str">
        <f t="shared" si="8"/>
        <v>Sobic.003G227300</v>
      </c>
    </row>
    <row r="191" spans="1:5" x14ac:dyDescent="0.2">
      <c r="A191" s="4" t="s">
        <v>116</v>
      </c>
      <c r="B191" s="4" t="s">
        <v>490</v>
      </c>
      <c r="C191" s="4" t="str">
        <f t="shared" si="6"/>
        <v>Maize</v>
      </c>
      <c r="D191" s="4" t="str">
        <f t="shared" si="7"/>
        <v>AC198725.4_FGP009</v>
      </c>
      <c r="E191" s="4" t="str">
        <f t="shared" si="8"/>
        <v>AC198725.4_FGP009</v>
      </c>
    </row>
    <row r="192" spans="1:5" x14ac:dyDescent="0.2">
      <c r="A192" s="4" t="s">
        <v>116</v>
      </c>
      <c r="B192" s="4" t="s">
        <v>491</v>
      </c>
      <c r="C192" s="4" t="str">
        <f t="shared" si="6"/>
        <v>Maize</v>
      </c>
      <c r="D192" s="4" t="str">
        <f t="shared" si="7"/>
        <v>GRMZM2G145554_P01</v>
      </c>
      <c r="E192" s="4" t="str">
        <f t="shared" si="8"/>
        <v>GRMZM2G145554</v>
      </c>
    </row>
    <row r="193" spans="1:5" x14ac:dyDescent="0.2">
      <c r="A193" s="4" t="s">
        <v>120</v>
      </c>
      <c r="B193" s="4" t="s">
        <v>121</v>
      </c>
      <c r="C193" s="4" t="str">
        <f t="shared" si="6"/>
        <v>Rice</v>
      </c>
      <c r="D193" s="4" t="str">
        <f t="shared" si="7"/>
        <v>BGIOSGA004701-PA</v>
      </c>
      <c r="E193" s="4" t="str">
        <f t="shared" si="8"/>
        <v>BGIOSGA004701</v>
      </c>
    </row>
    <row r="194" spans="1:5" x14ac:dyDescent="0.2">
      <c r="A194" s="4" t="s">
        <v>120</v>
      </c>
      <c r="B194" s="4" t="s">
        <v>122</v>
      </c>
      <c r="C194" s="4" t="str">
        <f t="shared" si="6"/>
        <v>Sorghum</v>
      </c>
      <c r="D194" s="4" t="str">
        <f t="shared" si="7"/>
        <v>Sobic.003G337500.1.p</v>
      </c>
      <c r="E194" s="4" t="str">
        <f t="shared" si="8"/>
        <v>Sobic.003G337500</v>
      </c>
    </row>
    <row r="195" spans="1:5" x14ac:dyDescent="0.2">
      <c r="A195" s="4" t="s">
        <v>120</v>
      </c>
      <c r="B195" s="4" t="s">
        <v>492</v>
      </c>
      <c r="C195" s="4" t="str">
        <f t="shared" si="6"/>
        <v>Maize</v>
      </c>
      <c r="D195" s="4" t="str">
        <f t="shared" si="7"/>
        <v>GRMZM2G029292_P02</v>
      </c>
      <c r="E195" s="4" t="str">
        <f t="shared" si="8"/>
        <v>GRMZM2G029292</v>
      </c>
    </row>
    <row r="196" spans="1:5" x14ac:dyDescent="0.2">
      <c r="A196" s="4" t="s">
        <v>120</v>
      </c>
      <c r="B196" s="4" t="s">
        <v>493</v>
      </c>
      <c r="C196" s="4" t="str">
        <f t="shared" ref="C196:C259" si="9">IF(LEFT(B196,5)="Sobic","Sorghum",IF(LEFT(B196,7)="BGIOSGA","Rice","Maize"))</f>
        <v>Maize</v>
      </c>
      <c r="D196" s="4" t="str">
        <f t="shared" ref="D196:D259" si="10">B196</f>
        <v>GRMZM2G029292_P03</v>
      </c>
      <c r="E196" s="4" t="str">
        <f t="shared" ref="E196:E259" si="11">IF(C196="Sorghum",LEFT(D196,FIND(".",D196,FIND(".",D196)+1)-1),IF(C196="Maize",IFERROR(LEFT(D196,FIND("_P",D196)-1),D196),LEFT(D196,FIND("-PA",D196)-1)))</f>
        <v>GRMZM2G029292</v>
      </c>
    </row>
    <row r="197" spans="1:5" x14ac:dyDescent="0.2">
      <c r="A197" s="4" t="s">
        <v>124</v>
      </c>
      <c r="B197" s="4" t="s">
        <v>494</v>
      </c>
      <c r="C197" s="4" t="str">
        <f t="shared" si="9"/>
        <v>Rice</v>
      </c>
      <c r="D197" s="4" t="str">
        <f t="shared" si="10"/>
        <v>BGIOSGA004703-PA</v>
      </c>
      <c r="E197" s="4" t="str">
        <f t="shared" si="11"/>
        <v>BGIOSGA004703</v>
      </c>
    </row>
    <row r="198" spans="1:5" x14ac:dyDescent="0.2">
      <c r="A198" s="4" t="s">
        <v>124</v>
      </c>
      <c r="B198" s="4" t="s">
        <v>495</v>
      </c>
      <c r="C198" s="4" t="str">
        <f t="shared" si="9"/>
        <v>Rice</v>
      </c>
      <c r="D198" s="4" t="str">
        <f t="shared" si="10"/>
        <v>BGIOSGA032700-PA</v>
      </c>
      <c r="E198" s="4" t="str">
        <f t="shared" si="11"/>
        <v>BGIOSGA032700</v>
      </c>
    </row>
    <row r="199" spans="1:5" x14ac:dyDescent="0.2">
      <c r="A199" s="4" t="s">
        <v>124</v>
      </c>
      <c r="B199" s="4" t="s">
        <v>126</v>
      </c>
      <c r="C199" s="4" t="str">
        <f t="shared" si="9"/>
        <v>Sorghum</v>
      </c>
      <c r="D199" s="4" t="str">
        <f t="shared" si="10"/>
        <v>Sobic.003G337600.1.p</v>
      </c>
      <c r="E199" s="4" t="str">
        <f t="shared" si="11"/>
        <v>Sobic.003G337600</v>
      </c>
    </row>
    <row r="200" spans="1:5" x14ac:dyDescent="0.2">
      <c r="A200" s="4" t="s">
        <v>124</v>
      </c>
      <c r="B200" s="4" t="s">
        <v>127</v>
      </c>
      <c r="C200" s="4" t="str">
        <f t="shared" si="9"/>
        <v>Maize</v>
      </c>
      <c r="D200" s="4" t="str">
        <f t="shared" si="10"/>
        <v>GRMZM2G065290_P01</v>
      </c>
      <c r="E200" s="4" t="str">
        <f t="shared" si="11"/>
        <v>GRMZM2G065290</v>
      </c>
    </row>
    <row r="201" spans="1:5" x14ac:dyDescent="0.2">
      <c r="A201" s="4" t="s">
        <v>128</v>
      </c>
      <c r="B201" s="4" t="s">
        <v>129</v>
      </c>
      <c r="C201" s="4" t="str">
        <f t="shared" si="9"/>
        <v>Rice</v>
      </c>
      <c r="D201" s="4" t="str">
        <f t="shared" si="10"/>
        <v>BGIOSGA005924-PA</v>
      </c>
      <c r="E201" s="4" t="str">
        <f t="shared" si="11"/>
        <v>BGIOSGA005924</v>
      </c>
    </row>
    <row r="202" spans="1:5" x14ac:dyDescent="0.2">
      <c r="A202" s="4" t="s">
        <v>128</v>
      </c>
      <c r="B202" s="4" t="s">
        <v>130</v>
      </c>
      <c r="C202" s="4" t="str">
        <f t="shared" si="9"/>
        <v>Sorghum</v>
      </c>
      <c r="D202" s="4" t="str">
        <f t="shared" si="10"/>
        <v>Sobic.004G298400.1.p</v>
      </c>
      <c r="E202" s="4" t="str">
        <f t="shared" si="11"/>
        <v>Sobic.004G298400</v>
      </c>
    </row>
    <row r="203" spans="1:5" x14ac:dyDescent="0.2">
      <c r="A203" s="4" t="s">
        <v>128</v>
      </c>
      <c r="B203" s="4" t="s">
        <v>496</v>
      </c>
      <c r="C203" s="4" t="str">
        <f t="shared" si="9"/>
        <v>Maize</v>
      </c>
      <c r="D203" s="4" t="str">
        <f t="shared" si="10"/>
        <v>GRMZM2G377217_P01</v>
      </c>
      <c r="E203" s="4" t="str">
        <f t="shared" si="11"/>
        <v>GRMZM2G377217</v>
      </c>
    </row>
    <row r="204" spans="1:5" x14ac:dyDescent="0.2">
      <c r="A204" s="4" t="s">
        <v>128</v>
      </c>
      <c r="B204" s="4" t="s">
        <v>497</v>
      </c>
      <c r="C204" s="4" t="str">
        <f t="shared" si="9"/>
        <v>Maize</v>
      </c>
      <c r="D204" s="4" t="str">
        <f t="shared" si="10"/>
        <v>GRMZM2G377217_P02</v>
      </c>
      <c r="E204" s="4" t="str">
        <f t="shared" si="11"/>
        <v>GRMZM2G377217</v>
      </c>
    </row>
    <row r="205" spans="1:5" x14ac:dyDescent="0.2">
      <c r="A205" s="4" t="s">
        <v>132</v>
      </c>
      <c r="B205" s="4" t="s">
        <v>133</v>
      </c>
      <c r="C205" s="4" t="str">
        <f t="shared" si="9"/>
        <v>Rice</v>
      </c>
      <c r="D205" s="4" t="str">
        <f t="shared" si="10"/>
        <v>BGIOSGA010118-PA</v>
      </c>
      <c r="E205" s="4" t="str">
        <f t="shared" si="11"/>
        <v>BGIOSGA010118</v>
      </c>
    </row>
    <row r="206" spans="1:5" x14ac:dyDescent="0.2">
      <c r="A206" s="4" t="s">
        <v>132</v>
      </c>
      <c r="B206" s="4" t="s">
        <v>134</v>
      </c>
      <c r="C206" s="4" t="str">
        <f t="shared" si="9"/>
        <v>Sorghum</v>
      </c>
      <c r="D206" s="4" t="str">
        <f t="shared" si="10"/>
        <v>Sobic.001G148000.1.p</v>
      </c>
      <c r="E206" s="4" t="str">
        <f t="shared" si="11"/>
        <v>Sobic.001G148000</v>
      </c>
    </row>
    <row r="207" spans="1:5" x14ac:dyDescent="0.2">
      <c r="A207" s="4" t="s">
        <v>132</v>
      </c>
      <c r="B207" s="4" t="s">
        <v>498</v>
      </c>
      <c r="C207" s="4" t="str">
        <f t="shared" si="9"/>
        <v>Maize</v>
      </c>
      <c r="D207" s="4" t="str">
        <f t="shared" si="10"/>
        <v>GRMZM2G149219_P01</v>
      </c>
      <c r="E207" s="4" t="str">
        <f t="shared" si="11"/>
        <v>GRMZM2G149219</v>
      </c>
    </row>
    <row r="208" spans="1:5" x14ac:dyDescent="0.2">
      <c r="A208" s="4" t="s">
        <v>132</v>
      </c>
      <c r="B208" s="4" t="s">
        <v>499</v>
      </c>
      <c r="C208" s="4" t="str">
        <f t="shared" si="9"/>
        <v>Maize</v>
      </c>
      <c r="D208" s="4" t="str">
        <f t="shared" si="10"/>
        <v>GRMZM2G161411_P01</v>
      </c>
      <c r="E208" s="4" t="str">
        <f t="shared" si="11"/>
        <v>GRMZM2G161411</v>
      </c>
    </row>
    <row r="209" spans="1:5" x14ac:dyDescent="0.2">
      <c r="A209" s="4" t="s">
        <v>136</v>
      </c>
      <c r="B209" s="4" t="s">
        <v>500</v>
      </c>
      <c r="C209" s="4" t="str">
        <f t="shared" si="9"/>
        <v>Rice</v>
      </c>
      <c r="D209" s="4" t="str">
        <f t="shared" si="10"/>
        <v>BGIOSGA012523-PA</v>
      </c>
      <c r="E209" s="4" t="str">
        <f t="shared" si="11"/>
        <v>BGIOSGA012523</v>
      </c>
    </row>
    <row r="210" spans="1:5" x14ac:dyDescent="0.2">
      <c r="A210" s="4" t="s">
        <v>136</v>
      </c>
      <c r="B210" s="4" t="s">
        <v>501</v>
      </c>
      <c r="C210" s="4" t="str">
        <f t="shared" si="9"/>
        <v>Rice</v>
      </c>
      <c r="D210" s="4" t="str">
        <f t="shared" si="10"/>
        <v>BGIOSGA012525-PA</v>
      </c>
      <c r="E210" s="4" t="str">
        <f t="shared" si="11"/>
        <v>BGIOSGA012525</v>
      </c>
    </row>
    <row r="211" spans="1:5" x14ac:dyDescent="0.2">
      <c r="A211" s="4" t="s">
        <v>136</v>
      </c>
      <c r="B211" s="4" t="s">
        <v>138</v>
      </c>
      <c r="C211" s="4" t="str">
        <f t="shared" si="9"/>
        <v>Sorghum</v>
      </c>
      <c r="D211" s="4" t="str">
        <f t="shared" si="10"/>
        <v>Sobic.001G389000.1.p</v>
      </c>
      <c r="E211" s="4" t="str">
        <f t="shared" si="11"/>
        <v>Sobic.001G389000</v>
      </c>
    </row>
    <row r="212" spans="1:5" x14ac:dyDescent="0.2">
      <c r="A212" s="4" t="s">
        <v>136</v>
      </c>
      <c r="B212" s="4" t="s">
        <v>139</v>
      </c>
      <c r="C212" s="4" t="str">
        <f t="shared" si="9"/>
        <v>Maize</v>
      </c>
      <c r="D212" s="4" t="str">
        <f t="shared" si="10"/>
        <v>GRMZM2G030272_P01</v>
      </c>
      <c r="E212" s="4" t="str">
        <f t="shared" si="11"/>
        <v>GRMZM2G030272</v>
      </c>
    </row>
    <row r="213" spans="1:5" x14ac:dyDescent="0.2">
      <c r="A213" s="4" t="s">
        <v>140</v>
      </c>
      <c r="B213" s="4" t="s">
        <v>141</v>
      </c>
      <c r="C213" s="4" t="str">
        <f t="shared" si="9"/>
        <v>Rice</v>
      </c>
      <c r="D213" s="4" t="str">
        <f t="shared" si="10"/>
        <v>BGIOSGA013972-PA</v>
      </c>
      <c r="E213" s="4" t="str">
        <f t="shared" si="11"/>
        <v>BGIOSGA013972</v>
      </c>
    </row>
    <row r="214" spans="1:5" x14ac:dyDescent="0.2">
      <c r="A214" s="4" t="s">
        <v>140</v>
      </c>
      <c r="B214" s="4" t="s">
        <v>502</v>
      </c>
      <c r="C214" s="4" t="str">
        <f t="shared" si="9"/>
        <v>Sorghum</v>
      </c>
      <c r="D214" s="4" t="str">
        <f t="shared" si="10"/>
        <v>Sobic.001G006600.1.p</v>
      </c>
      <c r="E214" s="4" t="str">
        <f t="shared" si="11"/>
        <v>Sobic.001G006600</v>
      </c>
    </row>
    <row r="215" spans="1:5" x14ac:dyDescent="0.2">
      <c r="A215" s="4" t="s">
        <v>140</v>
      </c>
      <c r="B215" s="4" t="s">
        <v>503</v>
      </c>
      <c r="C215" s="4" t="str">
        <f t="shared" si="9"/>
        <v>Sorghum</v>
      </c>
      <c r="D215" s="4" t="str">
        <f t="shared" si="10"/>
        <v>Sobic.001G006600.2.p</v>
      </c>
      <c r="E215" s="4" t="str">
        <f t="shared" si="11"/>
        <v>Sobic.001G006600</v>
      </c>
    </row>
    <row r="216" spans="1:5" x14ac:dyDescent="0.2">
      <c r="A216" s="4" t="s">
        <v>140</v>
      </c>
      <c r="B216" s="4" t="s">
        <v>143</v>
      </c>
      <c r="C216" s="4" t="str">
        <f t="shared" si="9"/>
        <v>Maize</v>
      </c>
      <c r="D216" s="4" t="str">
        <f t="shared" si="10"/>
        <v>GRMZM2G083717_P01</v>
      </c>
      <c r="E216" s="4" t="str">
        <f t="shared" si="11"/>
        <v>GRMZM2G083717</v>
      </c>
    </row>
    <row r="217" spans="1:5" x14ac:dyDescent="0.2">
      <c r="A217" s="4" t="s">
        <v>144</v>
      </c>
      <c r="B217" s="4" t="s">
        <v>145</v>
      </c>
      <c r="C217" s="4" t="str">
        <f t="shared" si="9"/>
        <v>Rice</v>
      </c>
      <c r="D217" s="4" t="str">
        <f t="shared" si="10"/>
        <v>BGIOSGA021174-PA</v>
      </c>
      <c r="E217" s="4" t="str">
        <f t="shared" si="11"/>
        <v>BGIOSGA021174</v>
      </c>
    </row>
    <row r="218" spans="1:5" x14ac:dyDescent="0.2">
      <c r="A218" s="4" t="s">
        <v>144</v>
      </c>
      <c r="B218" s="4" t="s">
        <v>146</v>
      </c>
      <c r="C218" s="4" t="str">
        <f t="shared" si="9"/>
        <v>Sorghum</v>
      </c>
      <c r="D218" s="4" t="str">
        <f t="shared" si="10"/>
        <v>Sobic.010G148800.1.p</v>
      </c>
      <c r="E218" s="4" t="str">
        <f t="shared" si="11"/>
        <v>Sobic.010G148800</v>
      </c>
    </row>
    <row r="219" spans="1:5" x14ac:dyDescent="0.2">
      <c r="A219" s="4" t="s">
        <v>144</v>
      </c>
      <c r="B219" s="4" t="s">
        <v>504</v>
      </c>
      <c r="C219" s="4" t="str">
        <f t="shared" si="9"/>
        <v>Maize</v>
      </c>
      <c r="D219" s="4" t="str">
        <f t="shared" si="10"/>
        <v>GRMZM2G006497_P01</v>
      </c>
      <c r="E219" s="4" t="str">
        <f t="shared" si="11"/>
        <v>GRMZM2G006497</v>
      </c>
    </row>
    <row r="220" spans="1:5" x14ac:dyDescent="0.2">
      <c r="A220" s="4" t="s">
        <v>144</v>
      </c>
      <c r="B220" s="4" t="s">
        <v>505</v>
      </c>
      <c r="C220" s="4" t="str">
        <f t="shared" si="9"/>
        <v>Maize</v>
      </c>
      <c r="D220" s="4" t="str">
        <f t="shared" si="10"/>
        <v>GRMZM2G156529_P01</v>
      </c>
      <c r="E220" s="4" t="str">
        <f t="shared" si="11"/>
        <v>GRMZM2G156529</v>
      </c>
    </row>
    <row r="221" spans="1:5" x14ac:dyDescent="0.2">
      <c r="A221" s="4" t="s">
        <v>148</v>
      </c>
      <c r="B221" s="4" t="s">
        <v>149</v>
      </c>
      <c r="C221" s="4" t="str">
        <f t="shared" si="9"/>
        <v>Rice</v>
      </c>
      <c r="D221" s="4" t="str">
        <f t="shared" si="10"/>
        <v>BGIOSGA022298-PA</v>
      </c>
      <c r="E221" s="4" t="str">
        <f t="shared" si="11"/>
        <v>BGIOSGA022298</v>
      </c>
    </row>
    <row r="222" spans="1:5" x14ac:dyDescent="0.2">
      <c r="A222" s="4" t="s">
        <v>148</v>
      </c>
      <c r="B222" s="4" t="s">
        <v>506</v>
      </c>
      <c r="C222" s="4" t="str">
        <f t="shared" si="9"/>
        <v>Sorghum</v>
      </c>
      <c r="D222" s="4" t="str">
        <f t="shared" si="10"/>
        <v>Sobic.010G035300.1.p</v>
      </c>
      <c r="E222" s="4" t="str">
        <f t="shared" si="11"/>
        <v>Sobic.010G035300</v>
      </c>
    </row>
    <row r="223" spans="1:5" x14ac:dyDescent="0.2">
      <c r="A223" s="4" t="s">
        <v>148</v>
      </c>
      <c r="B223" s="4" t="s">
        <v>507</v>
      </c>
      <c r="C223" s="4" t="str">
        <f t="shared" si="9"/>
        <v>Sorghum</v>
      </c>
      <c r="D223" s="4" t="str">
        <f t="shared" si="10"/>
        <v>Sobic.010G035300.2.p</v>
      </c>
      <c r="E223" s="4" t="str">
        <f t="shared" si="11"/>
        <v>Sobic.010G035300</v>
      </c>
    </row>
    <row r="224" spans="1:5" x14ac:dyDescent="0.2">
      <c r="A224" s="4" t="s">
        <v>148</v>
      </c>
      <c r="B224" s="4" t="s">
        <v>151</v>
      </c>
      <c r="C224" s="4" t="str">
        <f t="shared" si="9"/>
        <v>Maize</v>
      </c>
      <c r="D224" s="4" t="str">
        <f t="shared" si="10"/>
        <v>AC193630.3_FGP003</v>
      </c>
      <c r="E224" s="4" t="str">
        <f t="shared" si="11"/>
        <v>AC193630.3_FGP003</v>
      </c>
    </row>
    <row r="225" spans="1:5" x14ac:dyDescent="0.2">
      <c r="A225" s="4" t="s">
        <v>152</v>
      </c>
      <c r="B225" s="4" t="s">
        <v>153</v>
      </c>
      <c r="C225" s="4" t="str">
        <f t="shared" si="9"/>
        <v>Rice</v>
      </c>
      <c r="D225" s="4" t="str">
        <f t="shared" si="10"/>
        <v>BGIOSGA029757-PA</v>
      </c>
      <c r="E225" s="4" t="str">
        <f t="shared" si="11"/>
        <v>BGIOSGA029757</v>
      </c>
    </row>
    <row r="226" spans="1:5" x14ac:dyDescent="0.2">
      <c r="A226" s="4" t="s">
        <v>152</v>
      </c>
      <c r="B226" s="4" t="s">
        <v>508</v>
      </c>
      <c r="C226" s="4" t="str">
        <f t="shared" si="9"/>
        <v>Sorghum</v>
      </c>
      <c r="D226" s="4" t="str">
        <f t="shared" si="10"/>
        <v>Sobic.002G202800.1.p</v>
      </c>
      <c r="E226" s="4" t="str">
        <f t="shared" si="11"/>
        <v>Sobic.002G202800</v>
      </c>
    </row>
    <row r="227" spans="1:5" x14ac:dyDescent="0.2">
      <c r="A227" s="4" t="s">
        <v>152</v>
      </c>
      <c r="B227" s="4" t="s">
        <v>509</v>
      </c>
      <c r="C227" s="4" t="str">
        <f t="shared" si="9"/>
        <v>Sorghum</v>
      </c>
      <c r="D227" s="4" t="str">
        <f t="shared" si="10"/>
        <v>Sobic.002G202800.2.p</v>
      </c>
      <c r="E227" s="4" t="str">
        <f t="shared" si="11"/>
        <v>Sobic.002G202800</v>
      </c>
    </row>
    <row r="228" spans="1:5" x14ac:dyDescent="0.2">
      <c r="A228" s="4" t="s">
        <v>152</v>
      </c>
      <c r="B228" s="4" t="s">
        <v>155</v>
      </c>
      <c r="C228" s="4" t="str">
        <f t="shared" si="9"/>
        <v>Maize</v>
      </c>
      <c r="D228" s="4" t="str">
        <f t="shared" si="10"/>
        <v>GRMZM2G169149_P01</v>
      </c>
      <c r="E228" s="4" t="str">
        <f t="shared" si="11"/>
        <v>GRMZM2G169149</v>
      </c>
    </row>
    <row r="229" spans="1:5" x14ac:dyDescent="0.2">
      <c r="A229" s="4" t="s">
        <v>156</v>
      </c>
      <c r="B229" s="4" t="s">
        <v>157</v>
      </c>
      <c r="C229" s="4" t="str">
        <f t="shared" si="9"/>
        <v>Rice</v>
      </c>
      <c r="D229" s="4" t="str">
        <f t="shared" si="10"/>
        <v>BGIOSGA029758-PA</v>
      </c>
      <c r="E229" s="4" t="str">
        <f t="shared" si="11"/>
        <v>BGIOSGA029758</v>
      </c>
    </row>
    <row r="230" spans="1:5" x14ac:dyDescent="0.2">
      <c r="A230" s="4" t="s">
        <v>156</v>
      </c>
      <c r="B230" s="4" t="s">
        <v>158</v>
      </c>
      <c r="C230" s="4" t="str">
        <f t="shared" si="9"/>
        <v>Sorghum</v>
      </c>
      <c r="D230" s="4" t="str">
        <f t="shared" si="10"/>
        <v>Sobic.002G202700.1.p</v>
      </c>
      <c r="E230" s="4" t="str">
        <f t="shared" si="11"/>
        <v>Sobic.002G202700</v>
      </c>
    </row>
    <row r="231" spans="1:5" x14ac:dyDescent="0.2">
      <c r="A231" s="4" t="s">
        <v>156</v>
      </c>
      <c r="B231" s="4" t="s">
        <v>510</v>
      </c>
      <c r="C231" s="4" t="str">
        <f t="shared" si="9"/>
        <v>Maize</v>
      </c>
      <c r="D231" s="4" t="str">
        <f t="shared" si="10"/>
        <v>GRMZM2G125653_P01</v>
      </c>
      <c r="E231" s="4" t="str">
        <f t="shared" si="11"/>
        <v>GRMZM2G125653</v>
      </c>
    </row>
    <row r="232" spans="1:5" x14ac:dyDescent="0.2">
      <c r="A232" s="4" t="s">
        <v>156</v>
      </c>
      <c r="B232" s="4" t="s">
        <v>511</v>
      </c>
      <c r="C232" s="4" t="str">
        <f t="shared" si="9"/>
        <v>Maize</v>
      </c>
      <c r="D232" s="4" t="str">
        <f t="shared" si="10"/>
        <v>GRMZM2G125653_P02</v>
      </c>
      <c r="E232" s="4" t="str">
        <f t="shared" si="11"/>
        <v>GRMZM2G125653</v>
      </c>
    </row>
    <row r="233" spans="1:5" x14ac:dyDescent="0.2">
      <c r="A233" s="4" t="s">
        <v>160</v>
      </c>
      <c r="B233" s="4" t="s">
        <v>161</v>
      </c>
      <c r="C233" s="4" t="str">
        <f t="shared" si="9"/>
        <v>Rice</v>
      </c>
      <c r="D233" s="4" t="str">
        <f t="shared" si="10"/>
        <v>BGIOSGA035289-PA</v>
      </c>
      <c r="E233" s="4" t="str">
        <f t="shared" si="11"/>
        <v>BGIOSGA035289</v>
      </c>
    </row>
    <row r="234" spans="1:5" x14ac:dyDescent="0.2">
      <c r="A234" s="4" t="s">
        <v>160</v>
      </c>
      <c r="B234" s="4" t="s">
        <v>162</v>
      </c>
      <c r="C234" s="4" t="str">
        <f t="shared" si="9"/>
        <v>Sorghum</v>
      </c>
      <c r="D234" s="4" t="str">
        <f t="shared" si="10"/>
        <v>Sobic.005G117400.2.p</v>
      </c>
      <c r="E234" s="4" t="str">
        <f t="shared" si="11"/>
        <v>Sobic.005G117400</v>
      </c>
    </row>
    <row r="235" spans="1:5" x14ac:dyDescent="0.2">
      <c r="A235" s="4" t="s">
        <v>160</v>
      </c>
      <c r="B235" s="4" t="s">
        <v>512</v>
      </c>
      <c r="C235" s="4" t="str">
        <f t="shared" si="9"/>
        <v>Maize</v>
      </c>
      <c r="D235" s="4" t="str">
        <f t="shared" si="10"/>
        <v>GRMZM2G054125_P01</v>
      </c>
      <c r="E235" s="4" t="str">
        <f t="shared" si="11"/>
        <v>GRMZM2G054125</v>
      </c>
    </row>
    <row r="236" spans="1:5" x14ac:dyDescent="0.2">
      <c r="A236" s="4" t="s">
        <v>160</v>
      </c>
      <c r="B236" s="4" t="s">
        <v>513</v>
      </c>
      <c r="C236" s="4" t="str">
        <f t="shared" si="9"/>
        <v>Maize</v>
      </c>
      <c r="D236" s="4" t="str">
        <f t="shared" si="10"/>
        <v>GRMZM2G106560_P02</v>
      </c>
      <c r="E236" s="4" t="str">
        <f t="shared" si="11"/>
        <v>GRMZM2G106560</v>
      </c>
    </row>
    <row r="237" spans="1:5" x14ac:dyDescent="0.2">
      <c r="A237" s="4" t="s">
        <v>164</v>
      </c>
      <c r="B237" s="4" t="s">
        <v>165</v>
      </c>
      <c r="C237" s="4" t="str">
        <f t="shared" si="9"/>
        <v>Rice</v>
      </c>
      <c r="D237" s="4" t="str">
        <f t="shared" si="10"/>
        <v>BGIOSGA035895-PA</v>
      </c>
      <c r="E237" s="4" t="str">
        <f t="shared" si="11"/>
        <v>BGIOSGA035895</v>
      </c>
    </row>
    <row r="238" spans="1:5" x14ac:dyDescent="0.2">
      <c r="A238" s="4" t="s">
        <v>164</v>
      </c>
      <c r="B238" s="4" t="s">
        <v>166</v>
      </c>
      <c r="C238" s="4" t="str">
        <f t="shared" si="9"/>
        <v>Sorghum</v>
      </c>
      <c r="D238" s="4" t="str">
        <f t="shared" si="10"/>
        <v>Sobic.008G153600.1.p</v>
      </c>
      <c r="E238" s="4" t="str">
        <f t="shared" si="11"/>
        <v>Sobic.008G153600</v>
      </c>
    </row>
    <row r="239" spans="1:5" x14ac:dyDescent="0.2">
      <c r="A239" s="4" t="s">
        <v>164</v>
      </c>
      <c r="B239" s="4" t="s">
        <v>514</v>
      </c>
      <c r="C239" s="4" t="str">
        <f t="shared" si="9"/>
        <v>Maize</v>
      </c>
      <c r="D239" s="4" t="str">
        <f t="shared" si="10"/>
        <v>GRMZM2G173680_P01</v>
      </c>
      <c r="E239" s="4" t="str">
        <f t="shared" si="11"/>
        <v>GRMZM2G173680</v>
      </c>
    </row>
    <row r="240" spans="1:5" x14ac:dyDescent="0.2">
      <c r="A240" s="4" t="s">
        <v>164</v>
      </c>
      <c r="B240" s="4" t="s">
        <v>515</v>
      </c>
      <c r="C240" s="4" t="str">
        <f t="shared" si="9"/>
        <v>Maize</v>
      </c>
      <c r="D240" s="4" t="str">
        <f t="shared" si="10"/>
        <v>GRMZM2G173680_P02</v>
      </c>
      <c r="E240" s="4" t="str">
        <f t="shared" si="11"/>
        <v>GRMZM2G173680</v>
      </c>
    </row>
    <row r="241" spans="1:5" x14ac:dyDescent="0.2">
      <c r="A241" s="4" t="s">
        <v>168</v>
      </c>
      <c r="B241" s="4" t="s">
        <v>169</v>
      </c>
      <c r="C241" s="4" t="str">
        <f t="shared" si="9"/>
        <v>Rice</v>
      </c>
      <c r="D241" s="4" t="str">
        <f t="shared" si="10"/>
        <v>BGIOSGA040489-PA</v>
      </c>
      <c r="E241" s="4" t="str">
        <f t="shared" si="11"/>
        <v>BGIOSGA040489</v>
      </c>
    </row>
    <row r="242" spans="1:5" x14ac:dyDescent="0.2">
      <c r="A242" s="4" t="s">
        <v>168</v>
      </c>
      <c r="B242" s="4" t="s">
        <v>170</v>
      </c>
      <c r="C242" s="4" t="str">
        <f t="shared" si="9"/>
        <v>Sorghum</v>
      </c>
      <c r="D242" s="4" t="str">
        <f t="shared" si="10"/>
        <v>Sobic.007G118301.1.p</v>
      </c>
      <c r="E242" s="4" t="str">
        <f t="shared" si="11"/>
        <v>Sobic.007G118301</v>
      </c>
    </row>
    <row r="243" spans="1:5" x14ac:dyDescent="0.2">
      <c r="A243" s="4" t="s">
        <v>168</v>
      </c>
      <c r="B243" s="4" t="s">
        <v>516</v>
      </c>
      <c r="C243" s="4" t="str">
        <f t="shared" si="9"/>
        <v>Maize</v>
      </c>
      <c r="D243" s="4" t="str">
        <f t="shared" si="10"/>
        <v>AC205562.3_FGP002</v>
      </c>
      <c r="E243" s="4" t="str">
        <f t="shared" si="11"/>
        <v>AC205562.3_FGP002</v>
      </c>
    </row>
    <row r="244" spans="1:5" x14ac:dyDescent="0.2">
      <c r="A244" s="4" t="s">
        <v>168</v>
      </c>
      <c r="B244" s="4" t="s">
        <v>517</v>
      </c>
      <c r="C244" s="4" t="str">
        <f t="shared" si="9"/>
        <v>Maize</v>
      </c>
      <c r="D244" s="4" t="str">
        <f t="shared" si="10"/>
        <v>GRMZM2G324999_P01</v>
      </c>
      <c r="E244" s="4" t="str">
        <f t="shared" si="11"/>
        <v>GRMZM2G324999</v>
      </c>
    </row>
    <row r="245" spans="1:5" x14ac:dyDescent="0.2">
      <c r="A245" s="4" t="s">
        <v>172</v>
      </c>
      <c r="B245" s="4" t="s">
        <v>173</v>
      </c>
      <c r="C245" s="4" t="str">
        <f t="shared" si="9"/>
        <v>Sorghum</v>
      </c>
      <c r="D245" s="4" t="str">
        <f t="shared" si="10"/>
        <v>Sobic.001G084000.1.p</v>
      </c>
      <c r="E245" s="4" t="str">
        <f t="shared" si="11"/>
        <v>Sobic.001G084000</v>
      </c>
    </row>
    <row r="246" spans="1:5" x14ac:dyDescent="0.2">
      <c r="A246" s="4" t="s">
        <v>172</v>
      </c>
      <c r="B246" s="4" t="s">
        <v>518</v>
      </c>
      <c r="C246" s="4" t="str">
        <f t="shared" si="9"/>
        <v>Maize</v>
      </c>
      <c r="D246" s="4" t="str">
        <f t="shared" si="10"/>
        <v>GRMZM2G143204_P01</v>
      </c>
      <c r="E246" s="4" t="str">
        <f t="shared" si="11"/>
        <v>GRMZM2G143204</v>
      </c>
    </row>
    <row r="247" spans="1:5" x14ac:dyDescent="0.2">
      <c r="A247" s="4" t="s">
        <v>172</v>
      </c>
      <c r="B247" s="4" t="s">
        <v>519</v>
      </c>
      <c r="C247" s="4" t="str">
        <f t="shared" si="9"/>
        <v>Maize</v>
      </c>
      <c r="D247" s="4" t="str">
        <f t="shared" si="10"/>
        <v>GRMZM2G143204_P02</v>
      </c>
      <c r="E247" s="4" t="str">
        <f t="shared" si="11"/>
        <v>GRMZM2G143204</v>
      </c>
    </row>
    <row r="248" spans="1:5" x14ac:dyDescent="0.2">
      <c r="A248" s="4" t="s">
        <v>172</v>
      </c>
      <c r="B248" s="4" t="s">
        <v>520</v>
      </c>
      <c r="C248" s="4" t="str">
        <f t="shared" si="9"/>
        <v>Maize</v>
      </c>
      <c r="D248" s="4" t="str">
        <f t="shared" si="10"/>
        <v>GRMZM2G143204_P03</v>
      </c>
      <c r="E248" s="4" t="str">
        <f t="shared" si="11"/>
        <v>GRMZM2G143204</v>
      </c>
    </row>
    <row r="249" spans="1:5" x14ac:dyDescent="0.2">
      <c r="A249" s="4" t="s">
        <v>175</v>
      </c>
      <c r="B249" s="4" t="s">
        <v>521</v>
      </c>
      <c r="C249" s="4" t="str">
        <f t="shared" si="9"/>
        <v>Sorghum</v>
      </c>
      <c r="D249" s="4" t="str">
        <f t="shared" si="10"/>
        <v>Sobic.001G282400.1.p</v>
      </c>
      <c r="E249" s="4" t="str">
        <f t="shared" si="11"/>
        <v>Sobic.001G282400</v>
      </c>
    </row>
    <row r="250" spans="1:5" x14ac:dyDescent="0.2">
      <c r="A250" s="4" t="s">
        <v>175</v>
      </c>
      <c r="B250" s="4" t="s">
        <v>522</v>
      </c>
      <c r="C250" s="4" t="str">
        <f t="shared" si="9"/>
        <v>Sorghum</v>
      </c>
      <c r="D250" s="4" t="str">
        <f t="shared" si="10"/>
        <v>Sobic.001G282400.2.p</v>
      </c>
      <c r="E250" s="4" t="str">
        <f t="shared" si="11"/>
        <v>Sobic.001G282400</v>
      </c>
    </row>
    <row r="251" spans="1:5" x14ac:dyDescent="0.2">
      <c r="A251" s="4" t="s">
        <v>175</v>
      </c>
      <c r="B251" s="4" t="s">
        <v>523</v>
      </c>
      <c r="C251" s="4" t="str">
        <f t="shared" si="9"/>
        <v>Sorghum</v>
      </c>
      <c r="D251" s="4" t="str">
        <f t="shared" si="10"/>
        <v>Sobic.001G282400.3.p</v>
      </c>
      <c r="E251" s="4" t="str">
        <f t="shared" si="11"/>
        <v>Sobic.001G282400</v>
      </c>
    </row>
    <row r="252" spans="1:5" x14ac:dyDescent="0.2">
      <c r="A252" s="4" t="s">
        <v>175</v>
      </c>
      <c r="B252" s="4" t="s">
        <v>177</v>
      </c>
      <c r="C252" s="4" t="str">
        <f t="shared" si="9"/>
        <v>Maize</v>
      </c>
      <c r="D252" s="4" t="str">
        <f t="shared" si="10"/>
        <v>GRMZM2G383594_P01</v>
      </c>
      <c r="E252" s="4" t="str">
        <f t="shared" si="11"/>
        <v>GRMZM2G383594</v>
      </c>
    </row>
    <row r="253" spans="1:5" x14ac:dyDescent="0.2">
      <c r="A253" s="4" t="s">
        <v>178</v>
      </c>
      <c r="B253" s="4" t="s">
        <v>524</v>
      </c>
      <c r="C253" s="4" t="str">
        <f t="shared" si="9"/>
        <v>Sorghum</v>
      </c>
      <c r="D253" s="4" t="str">
        <f t="shared" si="10"/>
        <v>Sobic.002G104400.1.p</v>
      </c>
      <c r="E253" s="4" t="str">
        <f t="shared" si="11"/>
        <v>Sobic.002G104400</v>
      </c>
    </row>
    <row r="254" spans="1:5" x14ac:dyDescent="0.2">
      <c r="A254" s="4" t="s">
        <v>178</v>
      </c>
      <c r="B254" s="4" t="s">
        <v>525</v>
      </c>
      <c r="C254" s="4" t="str">
        <f t="shared" si="9"/>
        <v>Sorghum</v>
      </c>
      <c r="D254" s="4" t="str">
        <f t="shared" si="10"/>
        <v>Sobic.002G104400.2.p</v>
      </c>
      <c r="E254" s="4" t="str">
        <f t="shared" si="11"/>
        <v>Sobic.002G104400</v>
      </c>
    </row>
    <row r="255" spans="1:5" x14ac:dyDescent="0.2">
      <c r="A255" s="4" t="s">
        <v>178</v>
      </c>
      <c r="B255" s="4" t="s">
        <v>526</v>
      </c>
      <c r="C255" s="4" t="str">
        <f t="shared" si="9"/>
        <v>Sorghum</v>
      </c>
      <c r="D255" s="4" t="str">
        <f t="shared" si="10"/>
        <v>Sobic.002G104400.3.p</v>
      </c>
      <c r="E255" s="4" t="str">
        <f t="shared" si="11"/>
        <v>Sobic.002G104400</v>
      </c>
    </row>
    <row r="256" spans="1:5" x14ac:dyDescent="0.2">
      <c r="A256" s="4" t="s">
        <v>178</v>
      </c>
      <c r="B256" s="4" t="s">
        <v>527</v>
      </c>
      <c r="C256" s="4" t="str">
        <f t="shared" si="9"/>
        <v>Sorghum</v>
      </c>
      <c r="D256" s="4" t="str">
        <f t="shared" si="10"/>
        <v>Sobic.002G104400.4.p</v>
      </c>
      <c r="E256" s="4" t="str">
        <f t="shared" si="11"/>
        <v>Sobic.002G104400</v>
      </c>
    </row>
    <row r="257" spans="1:5" x14ac:dyDescent="0.2">
      <c r="A257" s="4" t="s">
        <v>180</v>
      </c>
      <c r="B257" s="4" t="s">
        <v>181</v>
      </c>
      <c r="C257" s="4" t="str">
        <f t="shared" si="9"/>
        <v>Rice</v>
      </c>
      <c r="D257" s="4" t="str">
        <f t="shared" si="10"/>
        <v>BGIOSGA000583-PA</v>
      </c>
      <c r="E257" s="4" t="str">
        <f t="shared" si="11"/>
        <v>BGIOSGA000583</v>
      </c>
    </row>
    <row r="258" spans="1:5" x14ac:dyDescent="0.2">
      <c r="A258" s="4" t="s">
        <v>180</v>
      </c>
      <c r="B258" s="4" t="s">
        <v>182</v>
      </c>
      <c r="C258" s="4" t="str">
        <f t="shared" si="9"/>
        <v>Sorghum</v>
      </c>
      <c r="D258" s="4" t="str">
        <f t="shared" si="10"/>
        <v>Sobic.003G337800.1.p</v>
      </c>
      <c r="E258" s="4" t="str">
        <f t="shared" si="11"/>
        <v>Sobic.003G337800</v>
      </c>
    </row>
    <row r="259" spans="1:5" x14ac:dyDescent="0.2">
      <c r="A259" s="4" t="s">
        <v>180</v>
      </c>
      <c r="B259" s="4" t="s">
        <v>183</v>
      </c>
      <c r="C259" s="4" t="str">
        <f t="shared" si="9"/>
        <v>Maize</v>
      </c>
      <c r="D259" s="4" t="str">
        <f t="shared" si="10"/>
        <v>GRMZM2G158328_P01</v>
      </c>
      <c r="E259" s="4" t="str">
        <f t="shared" si="11"/>
        <v>GRMZM2G158328</v>
      </c>
    </row>
    <row r="260" spans="1:5" x14ac:dyDescent="0.2">
      <c r="A260" s="4" t="s">
        <v>184</v>
      </c>
      <c r="B260" s="4" t="s">
        <v>185</v>
      </c>
      <c r="C260" s="4" t="str">
        <f t="shared" ref="C260:C323" si="12">IF(LEFT(B260,5)="Sobic","Sorghum",IF(LEFT(B260,7)="BGIOSGA","Rice","Maize"))</f>
        <v>Rice</v>
      </c>
      <c r="D260" s="4" t="str">
        <f t="shared" ref="D260:D323" si="13">B260</f>
        <v>BGIOSGA000873-PA</v>
      </c>
      <c r="E260" s="4" t="str">
        <f t="shared" ref="E260:E323" si="14">IF(C260="Sorghum",LEFT(D260,FIND(".",D260,FIND(".",D260)+1)-1),IF(C260="Maize",IFERROR(LEFT(D260,FIND("_P",D260)-1),D260),LEFT(D260,FIND("-PA",D260)-1)))</f>
        <v>BGIOSGA000873</v>
      </c>
    </row>
    <row r="261" spans="1:5" x14ac:dyDescent="0.2">
      <c r="A261" s="4" t="s">
        <v>184</v>
      </c>
      <c r="B261" s="4" t="s">
        <v>186</v>
      </c>
      <c r="C261" s="4" t="str">
        <f t="shared" si="12"/>
        <v>Sorghum</v>
      </c>
      <c r="D261" s="4" t="str">
        <f t="shared" si="13"/>
        <v>Sobic.003G285500.1.p</v>
      </c>
      <c r="E261" s="4" t="str">
        <f t="shared" si="14"/>
        <v>Sobic.003G285500</v>
      </c>
    </row>
    <row r="262" spans="1:5" x14ac:dyDescent="0.2">
      <c r="A262" s="4" t="s">
        <v>184</v>
      </c>
      <c r="B262" s="4" t="s">
        <v>187</v>
      </c>
      <c r="C262" s="4" t="str">
        <f t="shared" si="12"/>
        <v>Maize</v>
      </c>
      <c r="D262" s="4" t="str">
        <f t="shared" si="13"/>
        <v>GRMZM2G040298_P01</v>
      </c>
      <c r="E262" s="4" t="str">
        <f t="shared" si="14"/>
        <v>GRMZM2G040298</v>
      </c>
    </row>
    <row r="263" spans="1:5" x14ac:dyDescent="0.2">
      <c r="A263" s="4" t="s">
        <v>188</v>
      </c>
      <c r="B263" s="4" t="s">
        <v>189</v>
      </c>
      <c r="C263" s="4" t="str">
        <f t="shared" si="12"/>
        <v>Rice</v>
      </c>
      <c r="D263" s="4" t="str">
        <f t="shared" si="13"/>
        <v>BGIOSGA000921-PA</v>
      </c>
      <c r="E263" s="4" t="str">
        <f t="shared" si="14"/>
        <v>BGIOSGA000921</v>
      </c>
    </row>
    <row r="264" spans="1:5" x14ac:dyDescent="0.2">
      <c r="A264" s="4" t="s">
        <v>188</v>
      </c>
      <c r="B264" s="4" t="s">
        <v>190</v>
      </c>
      <c r="C264" s="4" t="str">
        <f t="shared" si="12"/>
        <v>Sorghum</v>
      </c>
      <c r="D264" s="4" t="str">
        <f t="shared" si="13"/>
        <v>Sobic.003G276000.1.p</v>
      </c>
      <c r="E264" s="4" t="str">
        <f t="shared" si="14"/>
        <v>Sobic.003G276000</v>
      </c>
    </row>
    <row r="265" spans="1:5" x14ac:dyDescent="0.2">
      <c r="A265" s="4" t="s">
        <v>188</v>
      </c>
      <c r="B265" s="4" t="s">
        <v>191</v>
      </c>
      <c r="C265" s="4" t="str">
        <f t="shared" si="12"/>
        <v>Maize</v>
      </c>
      <c r="D265" s="4" t="str">
        <f t="shared" si="13"/>
        <v>GRMZM2G101405_P01</v>
      </c>
      <c r="E265" s="4" t="str">
        <f t="shared" si="14"/>
        <v>GRMZM2G101405</v>
      </c>
    </row>
    <row r="266" spans="1:5" x14ac:dyDescent="0.2">
      <c r="A266" s="4" t="s">
        <v>192</v>
      </c>
      <c r="B266" s="4" t="s">
        <v>193</v>
      </c>
      <c r="C266" s="4" t="str">
        <f t="shared" si="12"/>
        <v>Rice</v>
      </c>
      <c r="D266" s="4" t="str">
        <f t="shared" si="13"/>
        <v>BGIOSGA001093-PA</v>
      </c>
      <c r="E266" s="4" t="str">
        <f t="shared" si="14"/>
        <v>BGIOSGA001093</v>
      </c>
    </row>
    <row r="267" spans="1:5" x14ac:dyDescent="0.2">
      <c r="A267" s="4" t="s">
        <v>192</v>
      </c>
      <c r="B267" s="4" t="s">
        <v>194</v>
      </c>
      <c r="C267" s="4" t="str">
        <f t="shared" si="12"/>
        <v>Sorghum</v>
      </c>
      <c r="D267" s="4" t="str">
        <f t="shared" si="13"/>
        <v>Sobic.003G242800.2.p</v>
      </c>
      <c r="E267" s="4" t="str">
        <f t="shared" si="14"/>
        <v>Sobic.003G242800</v>
      </c>
    </row>
    <row r="268" spans="1:5" x14ac:dyDescent="0.2">
      <c r="A268" s="4" t="s">
        <v>192</v>
      </c>
      <c r="B268" s="4" t="s">
        <v>195</v>
      </c>
      <c r="C268" s="4" t="str">
        <f t="shared" si="12"/>
        <v>Maize</v>
      </c>
      <c r="D268" s="4" t="str">
        <f t="shared" si="13"/>
        <v>GRMZM2G411766_P01</v>
      </c>
      <c r="E268" s="4" t="str">
        <f t="shared" si="14"/>
        <v>GRMZM2G411766</v>
      </c>
    </row>
    <row r="269" spans="1:5" x14ac:dyDescent="0.2">
      <c r="A269" s="4" t="s">
        <v>196</v>
      </c>
      <c r="B269" s="4" t="s">
        <v>197</v>
      </c>
      <c r="C269" s="4" t="str">
        <f t="shared" si="12"/>
        <v>Rice</v>
      </c>
      <c r="D269" s="4" t="str">
        <f t="shared" si="13"/>
        <v>BGIOSGA001327-PA</v>
      </c>
      <c r="E269" s="4" t="str">
        <f t="shared" si="14"/>
        <v>BGIOSGA001327</v>
      </c>
    </row>
    <row r="270" spans="1:5" x14ac:dyDescent="0.2">
      <c r="A270" s="4" t="s">
        <v>196</v>
      </c>
      <c r="B270" s="4" t="s">
        <v>198</v>
      </c>
      <c r="C270" s="4" t="str">
        <f t="shared" si="12"/>
        <v>Sorghum</v>
      </c>
      <c r="D270" s="4" t="str">
        <f t="shared" si="13"/>
        <v>Sobic.003G200700.1.p</v>
      </c>
      <c r="E270" s="4" t="str">
        <f t="shared" si="14"/>
        <v>Sobic.003G200700</v>
      </c>
    </row>
    <row r="271" spans="1:5" x14ac:dyDescent="0.2">
      <c r="A271" s="4" t="s">
        <v>196</v>
      </c>
      <c r="B271" s="4" t="s">
        <v>199</v>
      </c>
      <c r="C271" s="4" t="str">
        <f t="shared" si="12"/>
        <v>Maize</v>
      </c>
      <c r="D271" s="4" t="str">
        <f t="shared" si="13"/>
        <v>GRMZM2G304573_P01</v>
      </c>
      <c r="E271" s="4" t="str">
        <f t="shared" si="14"/>
        <v>GRMZM2G304573</v>
      </c>
    </row>
    <row r="272" spans="1:5" x14ac:dyDescent="0.2">
      <c r="A272" s="4" t="s">
        <v>200</v>
      </c>
      <c r="B272" s="4" t="s">
        <v>201</v>
      </c>
      <c r="C272" s="4" t="str">
        <f t="shared" si="12"/>
        <v>Rice</v>
      </c>
      <c r="D272" s="4" t="str">
        <f t="shared" si="13"/>
        <v>BGIOSGA004404-PA</v>
      </c>
      <c r="E272" s="4" t="str">
        <f t="shared" si="14"/>
        <v>BGIOSGA004404</v>
      </c>
    </row>
    <row r="273" spans="1:5" x14ac:dyDescent="0.2">
      <c r="A273" s="4" t="s">
        <v>200</v>
      </c>
      <c r="B273" s="4" t="s">
        <v>202</v>
      </c>
      <c r="C273" s="4" t="str">
        <f t="shared" si="12"/>
        <v>Sorghum</v>
      </c>
      <c r="D273" s="4" t="str">
        <f t="shared" si="13"/>
        <v>Sobic.003G287200.1.p</v>
      </c>
      <c r="E273" s="4" t="str">
        <f t="shared" si="14"/>
        <v>Sobic.003G287200</v>
      </c>
    </row>
    <row r="274" spans="1:5" x14ac:dyDescent="0.2">
      <c r="A274" s="4" t="s">
        <v>200</v>
      </c>
      <c r="B274" s="4" t="s">
        <v>203</v>
      </c>
      <c r="C274" s="4" t="str">
        <f t="shared" si="12"/>
        <v>Maize</v>
      </c>
      <c r="D274" s="4" t="str">
        <f t="shared" si="13"/>
        <v>GRMZM2G111354_P01</v>
      </c>
      <c r="E274" s="4" t="str">
        <f t="shared" si="14"/>
        <v>GRMZM2G111354</v>
      </c>
    </row>
    <row r="275" spans="1:5" x14ac:dyDescent="0.2">
      <c r="A275" s="4" t="s">
        <v>204</v>
      </c>
      <c r="B275" s="4" t="s">
        <v>205</v>
      </c>
      <c r="C275" s="4" t="str">
        <f t="shared" si="12"/>
        <v>Rice</v>
      </c>
      <c r="D275" s="4" t="str">
        <f t="shared" si="13"/>
        <v>BGIOSGA004704-PA</v>
      </c>
      <c r="E275" s="4" t="str">
        <f t="shared" si="14"/>
        <v>BGIOSGA004704</v>
      </c>
    </row>
    <row r="276" spans="1:5" x14ac:dyDescent="0.2">
      <c r="A276" s="4" t="s">
        <v>204</v>
      </c>
      <c r="B276" s="4" t="s">
        <v>206</v>
      </c>
      <c r="C276" s="4" t="str">
        <f t="shared" si="12"/>
        <v>Sorghum</v>
      </c>
      <c r="D276" s="4" t="str">
        <f t="shared" si="13"/>
        <v>Sobic.003G337700.1.p</v>
      </c>
      <c r="E276" s="4" t="str">
        <f t="shared" si="14"/>
        <v>Sobic.003G337700</v>
      </c>
    </row>
    <row r="277" spans="1:5" x14ac:dyDescent="0.2">
      <c r="A277" s="4" t="s">
        <v>204</v>
      </c>
      <c r="B277" s="4" t="s">
        <v>207</v>
      </c>
      <c r="C277" s="4" t="str">
        <f t="shared" si="12"/>
        <v>Maize</v>
      </c>
      <c r="D277" s="4" t="str">
        <f t="shared" si="13"/>
        <v>GRMZM2G029282_P01</v>
      </c>
      <c r="E277" s="4" t="str">
        <f t="shared" si="14"/>
        <v>GRMZM2G029282</v>
      </c>
    </row>
    <row r="278" spans="1:5" x14ac:dyDescent="0.2">
      <c r="A278" s="4" t="s">
        <v>208</v>
      </c>
      <c r="B278" s="4" t="s">
        <v>209</v>
      </c>
      <c r="C278" s="4" t="str">
        <f t="shared" si="12"/>
        <v>Rice</v>
      </c>
      <c r="D278" s="4" t="str">
        <f t="shared" si="13"/>
        <v>BGIOSGA005267-PA</v>
      </c>
      <c r="E278" s="4" t="str">
        <f t="shared" si="14"/>
        <v>BGIOSGA005267</v>
      </c>
    </row>
    <row r="279" spans="1:5" x14ac:dyDescent="0.2">
      <c r="A279" s="4" t="s">
        <v>208</v>
      </c>
      <c r="B279" s="4" t="s">
        <v>210</v>
      </c>
      <c r="C279" s="4" t="str">
        <f t="shared" si="12"/>
        <v>Sorghum</v>
      </c>
      <c r="D279" s="4" t="str">
        <f t="shared" si="13"/>
        <v>Sobic.003G444000.1.p</v>
      </c>
      <c r="E279" s="4" t="str">
        <f t="shared" si="14"/>
        <v>Sobic.003G444000</v>
      </c>
    </row>
    <row r="280" spans="1:5" x14ac:dyDescent="0.2">
      <c r="A280" s="4" t="s">
        <v>208</v>
      </c>
      <c r="B280" s="4" t="s">
        <v>211</v>
      </c>
      <c r="C280" s="4" t="str">
        <f t="shared" si="12"/>
        <v>Maize</v>
      </c>
      <c r="D280" s="4" t="str">
        <f t="shared" si="13"/>
        <v>AC165171.2_FGP002</v>
      </c>
      <c r="E280" s="4" t="str">
        <f t="shared" si="14"/>
        <v>AC165171.2_FGP002</v>
      </c>
    </row>
    <row r="281" spans="1:5" x14ac:dyDescent="0.2">
      <c r="A281" s="4" t="s">
        <v>212</v>
      </c>
      <c r="B281" s="4" t="s">
        <v>213</v>
      </c>
      <c r="C281" s="4" t="str">
        <f t="shared" si="12"/>
        <v>Rice</v>
      </c>
      <c r="D281" s="4" t="str">
        <f t="shared" si="13"/>
        <v>BGIOSGA007926-PA</v>
      </c>
      <c r="E281" s="4" t="str">
        <f t="shared" si="14"/>
        <v>BGIOSGA007926</v>
      </c>
    </row>
    <row r="282" spans="1:5" x14ac:dyDescent="0.2">
      <c r="A282" s="4" t="s">
        <v>212</v>
      </c>
      <c r="B282" s="4" t="s">
        <v>214</v>
      </c>
      <c r="C282" s="4" t="str">
        <f t="shared" si="12"/>
        <v>Sorghum</v>
      </c>
      <c r="D282" s="4" t="str">
        <f t="shared" si="13"/>
        <v>Sobic.004G117600.1.p</v>
      </c>
      <c r="E282" s="4" t="str">
        <f t="shared" si="14"/>
        <v>Sobic.004G117600</v>
      </c>
    </row>
    <row r="283" spans="1:5" x14ac:dyDescent="0.2">
      <c r="A283" s="4" t="s">
        <v>212</v>
      </c>
      <c r="B283" s="4" t="s">
        <v>215</v>
      </c>
      <c r="C283" s="4" t="str">
        <f t="shared" si="12"/>
        <v>Maize</v>
      </c>
      <c r="D283" s="4" t="str">
        <f t="shared" si="13"/>
        <v>GRMZM2G048450_P01</v>
      </c>
      <c r="E283" s="4" t="str">
        <f t="shared" si="14"/>
        <v>GRMZM2G048450</v>
      </c>
    </row>
    <row r="284" spans="1:5" x14ac:dyDescent="0.2">
      <c r="A284" s="4" t="s">
        <v>216</v>
      </c>
      <c r="B284" s="4" t="s">
        <v>217</v>
      </c>
      <c r="C284" s="4" t="str">
        <f t="shared" si="12"/>
        <v>Rice</v>
      </c>
      <c r="D284" s="4" t="str">
        <f t="shared" si="13"/>
        <v>BGIOSGA008165-PA</v>
      </c>
      <c r="E284" s="4" t="str">
        <f t="shared" si="14"/>
        <v>BGIOSGA008165</v>
      </c>
    </row>
    <row r="285" spans="1:5" x14ac:dyDescent="0.2">
      <c r="A285" s="4" t="s">
        <v>216</v>
      </c>
      <c r="B285" s="4" t="s">
        <v>218</v>
      </c>
      <c r="C285" s="4" t="str">
        <f t="shared" si="12"/>
        <v>Sorghum</v>
      </c>
      <c r="D285" s="4" t="str">
        <f t="shared" si="13"/>
        <v>Sobic.004G138400.2.p</v>
      </c>
      <c r="E285" s="4" t="str">
        <f t="shared" si="14"/>
        <v>Sobic.004G138400</v>
      </c>
    </row>
    <row r="286" spans="1:5" x14ac:dyDescent="0.2">
      <c r="A286" s="4" t="s">
        <v>216</v>
      </c>
      <c r="B286" s="4" t="s">
        <v>219</v>
      </c>
      <c r="C286" s="4" t="str">
        <f t="shared" si="12"/>
        <v>Maize</v>
      </c>
      <c r="D286" s="4" t="str">
        <f t="shared" si="13"/>
        <v>GRMZM2G073272_P01</v>
      </c>
      <c r="E286" s="4" t="str">
        <f t="shared" si="14"/>
        <v>GRMZM2G073272</v>
      </c>
    </row>
    <row r="287" spans="1:5" x14ac:dyDescent="0.2">
      <c r="A287" s="4" t="s">
        <v>220</v>
      </c>
      <c r="B287" s="4" t="s">
        <v>221</v>
      </c>
      <c r="C287" s="4" t="str">
        <f t="shared" si="12"/>
        <v>Rice</v>
      </c>
      <c r="D287" s="4" t="str">
        <f t="shared" si="13"/>
        <v>BGIOSGA013598-PA</v>
      </c>
      <c r="E287" s="4" t="str">
        <f t="shared" si="14"/>
        <v>BGIOSGA013598</v>
      </c>
    </row>
    <row r="288" spans="1:5" x14ac:dyDescent="0.2">
      <c r="A288" s="4" t="s">
        <v>220</v>
      </c>
      <c r="B288" s="4" t="s">
        <v>222</v>
      </c>
      <c r="C288" s="4" t="str">
        <f t="shared" si="12"/>
        <v>Sorghum</v>
      </c>
      <c r="D288" s="4" t="str">
        <f t="shared" si="13"/>
        <v>Sobic.001G083000.1.p</v>
      </c>
      <c r="E288" s="4" t="str">
        <f t="shared" si="14"/>
        <v>Sobic.001G083000</v>
      </c>
    </row>
    <row r="289" spans="1:5" x14ac:dyDescent="0.2">
      <c r="A289" s="4" t="s">
        <v>220</v>
      </c>
      <c r="B289" s="4" t="s">
        <v>223</v>
      </c>
      <c r="C289" s="4" t="str">
        <f t="shared" si="12"/>
        <v>Maize</v>
      </c>
      <c r="D289" s="4" t="str">
        <f t="shared" si="13"/>
        <v>GRMZM2G008029_P01</v>
      </c>
      <c r="E289" s="4" t="str">
        <f t="shared" si="14"/>
        <v>GRMZM2G008029</v>
      </c>
    </row>
    <row r="290" spans="1:5" x14ac:dyDescent="0.2">
      <c r="A290" s="4" t="s">
        <v>224</v>
      </c>
      <c r="B290" s="4" t="s">
        <v>225</v>
      </c>
      <c r="C290" s="4" t="str">
        <f t="shared" si="12"/>
        <v>Rice</v>
      </c>
      <c r="D290" s="4" t="str">
        <f t="shared" si="13"/>
        <v>BGIOSGA013733-PA</v>
      </c>
      <c r="E290" s="4" t="str">
        <f t="shared" si="14"/>
        <v>BGIOSGA013733</v>
      </c>
    </row>
    <row r="291" spans="1:5" x14ac:dyDescent="0.2">
      <c r="A291" s="4" t="s">
        <v>224</v>
      </c>
      <c r="B291" s="4" t="s">
        <v>226</v>
      </c>
      <c r="C291" s="4" t="str">
        <f t="shared" si="12"/>
        <v>Sorghum</v>
      </c>
      <c r="D291" s="4" t="str">
        <f t="shared" si="13"/>
        <v>Sobic.001G055400.1.p</v>
      </c>
      <c r="E291" s="4" t="str">
        <f t="shared" si="14"/>
        <v>Sobic.001G055400</v>
      </c>
    </row>
    <row r="292" spans="1:5" x14ac:dyDescent="0.2">
      <c r="A292" s="4" t="s">
        <v>224</v>
      </c>
      <c r="B292" s="4" t="s">
        <v>227</v>
      </c>
      <c r="C292" s="4" t="str">
        <f t="shared" si="12"/>
        <v>Maize</v>
      </c>
      <c r="D292" s="4" t="str">
        <f t="shared" si="13"/>
        <v>GRMZM2G164082_P01</v>
      </c>
      <c r="E292" s="4" t="str">
        <f t="shared" si="14"/>
        <v>GRMZM2G164082</v>
      </c>
    </row>
    <row r="293" spans="1:5" x14ac:dyDescent="0.2">
      <c r="A293" s="4" t="s">
        <v>228</v>
      </c>
      <c r="B293" s="4" t="s">
        <v>229</v>
      </c>
      <c r="C293" s="4" t="str">
        <f t="shared" si="12"/>
        <v>Rice</v>
      </c>
      <c r="D293" s="4" t="str">
        <f t="shared" si="13"/>
        <v>BGIOSGA017861-PA</v>
      </c>
      <c r="E293" s="4" t="str">
        <f t="shared" si="14"/>
        <v>BGIOSGA017861</v>
      </c>
    </row>
    <row r="294" spans="1:5" x14ac:dyDescent="0.2">
      <c r="A294" s="4" t="s">
        <v>228</v>
      </c>
      <c r="B294" s="4" t="s">
        <v>230</v>
      </c>
      <c r="C294" s="4" t="str">
        <f t="shared" si="12"/>
        <v>Sorghum</v>
      </c>
      <c r="D294" s="4" t="str">
        <f t="shared" si="13"/>
        <v>Sobic.009G174300.1.p</v>
      </c>
      <c r="E294" s="4" t="str">
        <f t="shared" si="14"/>
        <v>Sobic.009G174300</v>
      </c>
    </row>
    <row r="295" spans="1:5" x14ac:dyDescent="0.2">
      <c r="A295" s="4" t="s">
        <v>228</v>
      </c>
      <c r="B295" s="4" t="s">
        <v>231</v>
      </c>
      <c r="C295" s="4" t="str">
        <f t="shared" si="12"/>
        <v>Maize</v>
      </c>
      <c r="D295" s="4" t="str">
        <f t="shared" si="13"/>
        <v>GRMZM2G034421_P01</v>
      </c>
      <c r="E295" s="4" t="str">
        <f t="shared" si="14"/>
        <v>GRMZM2G034421</v>
      </c>
    </row>
    <row r="296" spans="1:5" x14ac:dyDescent="0.2">
      <c r="A296" s="4" t="s">
        <v>232</v>
      </c>
      <c r="B296" s="4" t="s">
        <v>233</v>
      </c>
      <c r="C296" s="4" t="str">
        <f t="shared" si="12"/>
        <v>Rice</v>
      </c>
      <c r="D296" s="4" t="str">
        <f t="shared" si="13"/>
        <v>BGIOSGA018854-PA</v>
      </c>
      <c r="E296" s="4" t="str">
        <f t="shared" si="14"/>
        <v>BGIOSGA018854</v>
      </c>
    </row>
    <row r="297" spans="1:5" x14ac:dyDescent="0.2">
      <c r="A297" s="4" t="s">
        <v>232</v>
      </c>
      <c r="B297" s="4" t="s">
        <v>528</v>
      </c>
      <c r="C297" s="4" t="str">
        <f t="shared" si="12"/>
        <v>Sorghum</v>
      </c>
      <c r="D297" s="4" t="str">
        <f t="shared" si="13"/>
        <v>Sobic.009G034800.1.p</v>
      </c>
      <c r="E297" s="4" t="str">
        <f t="shared" si="14"/>
        <v>Sobic.009G034800</v>
      </c>
    </row>
    <row r="298" spans="1:5" x14ac:dyDescent="0.2">
      <c r="A298" s="4" t="s">
        <v>232</v>
      </c>
      <c r="B298" s="4" t="s">
        <v>529</v>
      </c>
      <c r="C298" s="4" t="str">
        <f t="shared" si="12"/>
        <v>Sorghum</v>
      </c>
      <c r="D298" s="4" t="str">
        <f t="shared" si="13"/>
        <v>Sobic.009G034800.2.p</v>
      </c>
      <c r="E298" s="4" t="str">
        <f t="shared" si="14"/>
        <v>Sobic.009G034800</v>
      </c>
    </row>
    <row r="299" spans="1:5" x14ac:dyDescent="0.2">
      <c r="A299" s="4" t="s">
        <v>235</v>
      </c>
      <c r="B299" s="4" t="s">
        <v>236</v>
      </c>
      <c r="C299" s="4" t="str">
        <f t="shared" si="12"/>
        <v>Rice</v>
      </c>
      <c r="D299" s="4" t="str">
        <f t="shared" si="13"/>
        <v>BGIOSGA019620-PA</v>
      </c>
      <c r="E299" s="4" t="str">
        <f t="shared" si="14"/>
        <v>BGIOSGA019620</v>
      </c>
    </row>
    <row r="300" spans="1:5" x14ac:dyDescent="0.2">
      <c r="A300" s="4" t="s">
        <v>235</v>
      </c>
      <c r="B300" s="4" t="s">
        <v>237</v>
      </c>
      <c r="C300" s="4" t="str">
        <f t="shared" si="12"/>
        <v>Sorghum</v>
      </c>
      <c r="D300" s="4" t="str">
        <f t="shared" si="13"/>
        <v>Sobic.009G092100.1.p</v>
      </c>
      <c r="E300" s="4" t="str">
        <f t="shared" si="14"/>
        <v>Sobic.009G092100</v>
      </c>
    </row>
    <row r="301" spans="1:5" x14ac:dyDescent="0.2">
      <c r="A301" s="4" t="s">
        <v>235</v>
      </c>
      <c r="B301" s="4" t="s">
        <v>238</v>
      </c>
      <c r="C301" s="4" t="str">
        <f t="shared" si="12"/>
        <v>Maize</v>
      </c>
      <c r="D301" s="4" t="str">
        <f t="shared" si="13"/>
        <v>GRMZM2G127064_P01</v>
      </c>
      <c r="E301" s="4" t="str">
        <f t="shared" si="14"/>
        <v>GRMZM2G127064</v>
      </c>
    </row>
    <row r="302" spans="1:5" x14ac:dyDescent="0.2">
      <c r="A302" s="4" t="s">
        <v>239</v>
      </c>
      <c r="B302" s="4" t="s">
        <v>240</v>
      </c>
      <c r="C302" s="4" t="str">
        <f t="shared" si="12"/>
        <v>Rice</v>
      </c>
      <c r="D302" s="4" t="str">
        <f t="shared" si="13"/>
        <v>BGIOSGA019621-PA</v>
      </c>
      <c r="E302" s="4" t="str">
        <f t="shared" si="14"/>
        <v>BGIOSGA019621</v>
      </c>
    </row>
    <row r="303" spans="1:5" x14ac:dyDescent="0.2">
      <c r="A303" s="4" t="s">
        <v>239</v>
      </c>
      <c r="B303" s="4" t="s">
        <v>241</v>
      </c>
      <c r="C303" s="4" t="str">
        <f t="shared" si="12"/>
        <v>Sorghum</v>
      </c>
      <c r="D303" s="4" t="str">
        <f t="shared" si="13"/>
        <v>Sobic.008G060300.1.p</v>
      </c>
      <c r="E303" s="4" t="str">
        <f t="shared" si="14"/>
        <v>Sobic.008G060300</v>
      </c>
    </row>
    <row r="304" spans="1:5" x14ac:dyDescent="0.2">
      <c r="A304" s="4" t="s">
        <v>239</v>
      </c>
      <c r="B304" s="4" t="s">
        <v>242</v>
      </c>
      <c r="C304" s="4" t="str">
        <f t="shared" si="12"/>
        <v>Maize</v>
      </c>
      <c r="D304" s="4" t="str">
        <f t="shared" si="13"/>
        <v>GRMZM2G004060_P01</v>
      </c>
      <c r="E304" s="4" t="str">
        <f t="shared" si="14"/>
        <v>GRMZM2G004060</v>
      </c>
    </row>
    <row r="305" spans="1:5" x14ac:dyDescent="0.2">
      <c r="A305" s="4" t="s">
        <v>243</v>
      </c>
      <c r="B305" s="4" t="s">
        <v>244</v>
      </c>
      <c r="C305" s="4" t="str">
        <f t="shared" si="12"/>
        <v>Rice</v>
      </c>
      <c r="D305" s="4" t="str">
        <f t="shared" si="13"/>
        <v>BGIOSGA020266-PA</v>
      </c>
      <c r="E305" s="4" t="str">
        <f t="shared" si="14"/>
        <v>BGIOSGA020266</v>
      </c>
    </row>
    <row r="306" spans="1:5" x14ac:dyDescent="0.2">
      <c r="A306" s="4" t="s">
        <v>243</v>
      </c>
      <c r="B306" s="4" t="s">
        <v>245</v>
      </c>
      <c r="C306" s="4" t="str">
        <f t="shared" si="12"/>
        <v>Sorghum</v>
      </c>
      <c r="D306" s="4" t="str">
        <f t="shared" si="13"/>
        <v>Sobic.009G212800.1.p</v>
      </c>
      <c r="E306" s="4" t="str">
        <f t="shared" si="14"/>
        <v>Sobic.009G212800</v>
      </c>
    </row>
    <row r="307" spans="1:5" x14ac:dyDescent="0.2">
      <c r="A307" s="4" t="s">
        <v>243</v>
      </c>
      <c r="B307" s="4" t="s">
        <v>246</v>
      </c>
      <c r="C307" s="4" t="str">
        <f t="shared" si="12"/>
        <v>Maize</v>
      </c>
      <c r="D307" s="4" t="str">
        <f t="shared" si="13"/>
        <v>GRMZM5G863420_P01</v>
      </c>
      <c r="E307" s="4" t="str">
        <f t="shared" si="14"/>
        <v>GRMZM5G863420</v>
      </c>
    </row>
    <row r="308" spans="1:5" x14ac:dyDescent="0.2">
      <c r="A308" s="4" t="s">
        <v>247</v>
      </c>
      <c r="B308" s="4" t="s">
        <v>248</v>
      </c>
      <c r="C308" s="4" t="str">
        <f t="shared" si="12"/>
        <v>Rice</v>
      </c>
      <c r="D308" s="4" t="str">
        <f t="shared" si="13"/>
        <v>BGIOSGA022355-PA</v>
      </c>
      <c r="E308" s="4" t="str">
        <f t="shared" si="14"/>
        <v>BGIOSGA022355</v>
      </c>
    </row>
    <row r="309" spans="1:5" x14ac:dyDescent="0.2">
      <c r="A309" s="4" t="s">
        <v>247</v>
      </c>
      <c r="B309" s="4" t="s">
        <v>249</v>
      </c>
      <c r="C309" s="4" t="str">
        <f t="shared" si="12"/>
        <v>Sorghum</v>
      </c>
      <c r="D309" s="4" t="str">
        <f t="shared" si="13"/>
        <v>Sobic.010G045700.1.p</v>
      </c>
      <c r="E309" s="4" t="str">
        <f t="shared" si="14"/>
        <v>Sobic.010G045700</v>
      </c>
    </row>
    <row r="310" spans="1:5" x14ac:dyDescent="0.2">
      <c r="A310" s="4" t="s">
        <v>247</v>
      </c>
      <c r="B310" s="4" t="s">
        <v>250</v>
      </c>
      <c r="C310" s="4" t="str">
        <f t="shared" si="12"/>
        <v>Maize</v>
      </c>
      <c r="D310" s="4" t="str">
        <f t="shared" si="13"/>
        <v>GRMZM2G003551_P01</v>
      </c>
      <c r="E310" s="4" t="str">
        <f t="shared" si="14"/>
        <v>GRMZM2G003551</v>
      </c>
    </row>
    <row r="311" spans="1:5" x14ac:dyDescent="0.2">
      <c r="A311" s="4" t="s">
        <v>251</v>
      </c>
      <c r="B311" s="4" t="s">
        <v>252</v>
      </c>
      <c r="C311" s="4" t="str">
        <f t="shared" si="12"/>
        <v>Rice</v>
      </c>
      <c r="D311" s="4" t="str">
        <f t="shared" si="13"/>
        <v>BGIOSGA023706-PA</v>
      </c>
      <c r="E311" s="4" t="str">
        <f t="shared" si="14"/>
        <v>BGIOSGA023706</v>
      </c>
    </row>
    <row r="312" spans="1:5" x14ac:dyDescent="0.2">
      <c r="A312" s="4" t="s">
        <v>251</v>
      </c>
      <c r="B312" s="4" t="s">
        <v>253</v>
      </c>
      <c r="C312" s="4" t="str">
        <f t="shared" si="12"/>
        <v>Sorghum</v>
      </c>
      <c r="D312" s="4" t="str">
        <f t="shared" si="13"/>
        <v>Sobic.002G418500.1.p</v>
      </c>
      <c r="E312" s="4" t="str">
        <f t="shared" si="14"/>
        <v>Sobic.002G418500</v>
      </c>
    </row>
    <row r="313" spans="1:5" x14ac:dyDescent="0.2">
      <c r="A313" s="4" t="s">
        <v>251</v>
      </c>
      <c r="B313" s="4" t="s">
        <v>254</v>
      </c>
      <c r="C313" s="4" t="str">
        <f t="shared" si="12"/>
        <v>Maize</v>
      </c>
      <c r="D313" s="4" t="str">
        <f t="shared" si="13"/>
        <v>GRMZM2G381378_P01</v>
      </c>
      <c r="E313" s="4" t="str">
        <f t="shared" si="14"/>
        <v>GRMZM2G381378</v>
      </c>
    </row>
    <row r="314" spans="1:5" x14ac:dyDescent="0.2">
      <c r="A314" s="4" t="s">
        <v>255</v>
      </c>
      <c r="B314" s="4" t="s">
        <v>256</v>
      </c>
      <c r="C314" s="4" t="str">
        <f t="shared" si="12"/>
        <v>Rice</v>
      </c>
      <c r="D314" s="4" t="str">
        <f t="shared" si="13"/>
        <v>BGIOSGA024007-PA</v>
      </c>
      <c r="E314" s="4" t="str">
        <f t="shared" si="14"/>
        <v>BGIOSGA024007</v>
      </c>
    </row>
    <row r="315" spans="1:5" x14ac:dyDescent="0.2">
      <c r="A315" s="4" t="s">
        <v>255</v>
      </c>
      <c r="B315" s="4" t="s">
        <v>257</v>
      </c>
      <c r="C315" s="4" t="str">
        <f t="shared" si="12"/>
        <v>Sorghum</v>
      </c>
      <c r="D315" s="4" t="str">
        <f t="shared" si="13"/>
        <v>Sobic.002G355000.1.p</v>
      </c>
      <c r="E315" s="4" t="str">
        <f t="shared" si="14"/>
        <v>Sobic.002G355000</v>
      </c>
    </row>
    <row r="316" spans="1:5" x14ac:dyDescent="0.2">
      <c r="A316" s="4" t="s">
        <v>255</v>
      </c>
      <c r="B316" s="4" t="s">
        <v>258</v>
      </c>
      <c r="C316" s="4" t="str">
        <f t="shared" si="12"/>
        <v>Maize</v>
      </c>
      <c r="D316" s="4" t="str">
        <f t="shared" si="13"/>
        <v>GRMZM2G398506_P02</v>
      </c>
      <c r="E316" s="4" t="str">
        <f t="shared" si="14"/>
        <v>GRMZM2G398506</v>
      </c>
    </row>
    <row r="317" spans="1:5" x14ac:dyDescent="0.2">
      <c r="A317" s="4" t="s">
        <v>259</v>
      </c>
      <c r="B317" s="4" t="s">
        <v>260</v>
      </c>
      <c r="C317" s="4" t="str">
        <f t="shared" si="12"/>
        <v>Rice</v>
      </c>
      <c r="D317" s="4" t="str">
        <f t="shared" si="13"/>
        <v>BGIOSGA025645-PA</v>
      </c>
      <c r="E317" s="4" t="str">
        <f t="shared" si="14"/>
        <v>BGIOSGA025645</v>
      </c>
    </row>
    <row r="318" spans="1:5" x14ac:dyDescent="0.2">
      <c r="A318" s="4" t="s">
        <v>259</v>
      </c>
      <c r="B318" s="4" t="s">
        <v>530</v>
      </c>
      <c r="C318" s="4" t="str">
        <f t="shared" si="12"/>
        <v>Sorghum</v>
      </c>
      <c r="D318" s="4" t="str">
        <f t="shared" si="13"/>
        <v>Sobic.002G128400.1.p</v>
      </c>
      <c r="E318" s="4" t="str">
        <f t="shared" si="14"/>
        <v>Sobic.002G128400</v>
      </c>
    </row>
    <row r="319" spans="1:5" x14ac:dyDescent="0.2">
      <c r="A319" s="4" t="s">
        <v>259</v>
      </c>
      <c r="B319" s="4" t="s">
        <v>531</v>
      </c>
      <c r="C319" s="4" t="str">
        <f t="shared" si="12"/>
        <v>Sorghum</v>
      </c>
      <c r="D319" s="4" t="str">
        <f t="shared" si="13"/>
        <v>Sobic.002G128400.2.p</v>
      </c>
      <c r="E319" s="4" t="str">
        <f t="shared" si="14"/>
        <v>Sobic.002G128400</v>
      </c>
    </row>
    <row r="320" spans="1:5" x14ac:dyDescent="0.2">
      <c r="A320" s="4" t="s">
        <v>262</v>
      </c>
      <c r="B320" s="4" t="s">
        <v>263</v>
      </c>
      <c r="C320" s="4" t="str">
        <f t="shared" si="12"/>
        <v>Rice</v>
      </c>
      <c r="D320" s="4" t="str">
        <f t="shared" si="13"/>
        <v>BGIOSGA027300-PA</v>
      </c>
      <c r="E320" s="4" t="str">
        <f t="shared" si="14"/>
        <v>BGIOSGA027300</v>
      </c>
    </row>
    <row r="321" spans="1:5" x14ac:dyDescent="0.2">
      <c r="A321" s="4" t="s">
        <v>262</v>
      </c>
      <c r="B321" s="4" t="s">
        <v>264</v>
      </c>
      <c r="C321" s="4" t="str">
        <f t="shared" si="12"/>
        <v>Sorghum</v>
      </c>
      <c r="D321" s="4" t="str">
        <f t="shared" si="13"/>
        <v>Sobic.007G111600.1.p</v>
      </c>
      <c r="E321" s="4" t="str">
        <f t="shared" si="14"/>
        <v>Sobic.007G111600</v>
      </c>
    </row>
    <row r="322" spans="1:5" x14ac:dyDescent="0.2">
      <c r="A322" s="4" t="s">
        <v>262</v>
      </c>
      <c r="B322" s="4" t="s">
        <v>265</v>
      </c>
      <c r="C322" s="4" t="str">
        <f t="shared" si="12"/>
        <v>Maize</v>
      </c>
      <c r="D322" s="4" t="str">
        <f t="shared" si="13"/>
        <v>GRMZM2G549512_P01</v>
      </c>
      <c r="E322" s="4" t="str">
        <f t="shared" si="14"/>
        <v>GRMZM2G549512</v>
      </c>
    </row>
    <row r="323" spans="1:5" x14ac:dyDescent="0.2">
      <c r="A323" s="4" t="s">
        <v>266</v>
      </c>
      <c r="B323" s="4" t="s">
        <v>267</v>
      </c>
      <c r="C323" s="4" t="str">
        <f t="shared" si="12"/>
        <v>Rice</v>
      </c>
      <c r="D323" s="4" t="str">
        <f t="shared" si="13"/>
        <v>BGIOSGA030067-PA</v>
      </c>
      <c r="E323" s="4" t="str">
        <f t="shared" si="14"/>
        <v>BGIOSGA030067</v>
      </c>
    </row>
    <row r="324" spans="1:5" x14ac:dyDescent="0.2">
      <c r="A324" s="4" t="s">
        <v>266</v>
      </c>
      <c r="B324" s="4" t="s">
        <v>532</v>
      </c>
      <c r="C324" s="4" t="str">
        <f t="shared" ref="C324:C372" si="15">IF(LEFT(B324,5)="Sobic","Sorghum",IF(LEFT(B324,7)="BGIOSGA","Rice","Maize"))</f>
        <v>Maize</v>
      </c>
      <c r="D324" s="4" t="str">
        <f t="shared" ref="D324:D372" si="16">B324</f>
        <v>GRMZM2G449681_P02</v>
      </c>
      <c r="E324" s="4" t="str">
        <f t="shared" ref="E324:E372" si="17">IF(C324="Sorghum",LEFT(D324,FIND(".",D324,FIND(".",D324)+1)-1),IF(C324="Maize",IFERROR(LEFT(D324,FIND("_P",D324)-1),D324),LEFT(D324,FIND("-PA",D324)-1)))</f>
        <v>GRMZM2G449681</v>
      </c>
    </row>
    <row r="325" spans="1:5" x14ac:dyDescent="0.2">
      <c r="A325" s="4" t="s">
        <v>266</v>
      </c>
      <c r="B325" s="4" t="s">
        <v>533</v>
      </c>
      <c r="C325" s="4" t="str">
        <f t="shared" si="15"/>
        <v>Maize</v>
      </c>
      <c r="D325" s="4" t="str">
        <f t="shared" si="16"/>
        <v>GRMZM2G449681_P03</v>
      </c>
      <c r="E325" s="4" t="str">
        <f t="shared" si="17"/>
        <v>GRMZM2G449681</v>
      </c>
    </row>
    <row r="326" spans="1:5" x14ac:dyDescent="0.2">
      <c r="A326" s="4" t="s">
        <v>269</v>
      </c>
      <c r="B326" s="4" t="s">
        <v>534</v>
      </c>
      <c r="C326" s="4" t="str">
        <f t="shared" si="15"/>
        <v>Sorghum</v>
      </c>
      <c r="D326" s="4" t="str">
        <f t="shared" si="16"/>
        <v>Sobic.001G162100.1.p</v>
      </c>
      <c r="E326" s="4" t="str">
        <f t="shared" si="17"/>
        <v>Sobic.001G162100</v>
      </c>
    </row>
    <row r="327" spans="1:5" x14ac:dyDescent="0.2">
      <c r="A327" s="4" t="s">
        <v>269</v>
      </c>
      <c r="B327" s="4" t="s">
        <v>535</v>
      </c>
      <c r="C327" s="4" t="str">
        <f t="shared" si="15"/>
        <v>Sorghum</v>
      </c>
      <c r="D327" s="4" t="str">
        <f t="shared" si="16"/>
        <v>Sobic.001G162100.2.p</v>
      </c>
      <c r="E327" s="4" t="str">
        <f t="shared" si="17"/>
        <v>Sobic.001G162100</v>
      </c>
    </row>
    <row r="328" spans="1:5" x14ac:dyDescent="0.2">
      <c r="A328" s="4" t="s">
        <v>269</v>
      </c>
      <c r="B328" s="4" t="s">
        <v>271</v>
      </c>
      <c r="C328" s="4" t="str">
        <f t="shared" si="15"/>
        <v>Maize</v>
      </c>
      <c r="D328" s="4" t="str">
        <f t="shared" si="16"/>
        <v>GRMZM2G070211_P01</v>
      </c>
      <c r="E328" s="4" t="str">
        <f t="shared" si="17"/>
        <v>GRMZM2G070211</v>
      </c>
    </row>
    <row r="329" spans="1:5" x14ac:dyDescent="0.2">
      <c r="A329" s="4" t="s">
        <v>272</v>
      </c>
      <c r="B329" s="4" t="s">
        <v>536</v>
      </c>
      <c r="C329" s="4" t="str">
        <f t="shared" si="15"/>
        <v>Sorghum</v>
      </c>
      <c r="D329" s="4" t="str">
        <f t="shared" si="16"/>
        <v>Sobic.002G168300.1.p</v>
      </c>
      <c r="E329" s="4" t="str">
        <f t="shared" si="17"/>
        <v>Sobic.002G168300</v>
      </c>
    </row>
    <row r="330" spans="1:5" x14ac:dyDescent="0.2">
      <c r="A330" s="4" t="s">
        <v>272</v>
      </c>
      <c r="B330" s="4" t="s">
        <v>537</v>
      </c>
      <c r="C330" s="4" t="str">
        <f t="shared" si="15"/>
        <v>Sorghum</v>
      </c>
      <c r="D330" s="4" t="str">
        <f t="shared" si="16"/>
        <v>Sobic.002G168300.2.p</v>
      </c>
      <c r="E330" s="4" t="str">
        <f t="shared" si="17"/>
        <v>Sobic.002G168300</v>
      </c>
    </row>
    <row r="331" spans="1:5" x14ac:dyDescent="0.2">
      <c r="A331" s="4" t="s">
        <v>272</v>
      </c>
      <c r="B331" s="4" t="s">
        <v>538</v>
      </c>
      <c r="C331" s="4" t="str">
        <f t="shared" si="15"/>
        <v>Sorghum</v>
      </c>
      <c r="D331" s="4" t="str">
        <f t="shared" si="16"/>
        <v>Sobic.002G168300.3.p</v>
      </c>
      <c r="E331" s="4" t="str">
        <f t="shared" si="17"/>
        <v>Sobic.002G168300</v>
      </c>
    </row>
    <row r="332" spans="1:5" x14ac:dyDescent="0.2">
      <c r="A332" s="4" t="s">
        <v>274</v>
      </c>
      <c r="B332" s="4" t="s">
        <v>539</v>
      </c>
      <c r="C332" s="4" t="str">
        <f t="shared" si="15"/>
        <v>Sorghum</v>
      </c>
      <c r="D332" s="4" t="str">
        <f t="shared" si="16"/>
        <v>Sobic.003G037400.1.p</v>
      </c>
      <c r="E332" s="4" t="str">
        <f t="shared" si="17"/>
        <v>Sobic.003G037400</v>
      </c>
    </row>
    <row r="333" spans="1:5" x14ac:dyDescent="0.2">
      <c r="A333" s="4" t="s">
        <v>274</v>
      </c>
      <c r="B333" s="4" t="s">
        <v>540</v>
      </c>
      <c r="C333" s="4" t="str">
        <f t="shared" si="15"/>
        <v>Sorghum</v>
      </c>
      <c r="D333" s="4" t="str">
        <f t="shared" si="16"/>
        <v>Sobic.003G037400.2.p</v>
      </c>
      <c r="E333" s="4" t="str">
        <f t="shared" si="17"/>
        <v>Sobic.003G037400</v>
      </c>
    </row>
    <row r="334" spans="1:5" x14ac:dyDescent="0.2">
      <c r="A334" s="4" t="s">
        <v>274</v>
      </c>
      <c r="B334" s="4" t="s">
        <v>276</v>
      </c>
      <c r="C334" s="4" t="str">
        <f t="shared" si="15"/>
        <v>Maize</v>
      </c>
      <c r="D334" s="4" t="str">
        <f t="shared" si="16"/>
        <v>GRMZM2G516301_P01</v>
      </c>
      <c r="E334" s="4" t="str">
        <f t="shared" si="17"/>
        <v>GRMZM2G516301</v>
      </c>
    </row>
    <row r="335" spans="1:5" x14ac:dyDescent="0.2">
      <c r="A335" s="4" t="s">
        <v>277</v>
      </c>
      <c r="B335" s="4" t="s">
        <v>278</v>
      </c>
      <c r="C335" s="4" t="str">
        <f t="shared" si="15"/>
        <v>Rice</v>
      </c>
      <c r="D335" s="4" t="str">
        <f t="shared" si="16"/>
        <v>BGIOSGA002245-PA</v>
      </c>
      <c r="E335" s="4" t="str">
        <f t="shared" si="17"/>
        <v>BGIOSGA002245</v>
      </c>
    </row>
    <row r="336" spans="1:5" x14ac:dyDescent="0.2">
      <c r="A336" s="4" t="s">
        <v>277</v>
      </c>
      <c r="B336" s="4" t="s">
        <v>279</v>
      </c>
      <c r="C336" s="4" t="str">
        <f t="shared" si="15"/>
        <v>Sorghum</v>
      </c>
      <c r="D336" s="4" t="str">
        <f t="shared" si="16"/>
        <v>Sobic.003G040800.1.p</v>
      </c>
      <c r="E336" s="4" t="str">
        <f t="shared" si="17"/>
        <v>Sobic.003G040800</v>
      </c>
    </row>
    <row r="337" spans="1:5" x14ac:dyDescent="0.2">
      <c r="A337" s="4" t="s">
        <v>280</v>
      </c>
      <c r="B337" s="4" t="s">
        <v>281</v>
      </c>
      <c r="C337" s="4" t="str">
        <f t="shared" si="15"/>
        <v>Rice</v>
      </c>
      <c r="D337" s="4" t="str">
        <f t="shared" si="16"/>
        <v>BGIOSGA003306-PA</v>
      </c>
      <c r="E337" s="4" t="str">
        <f t="shared" si="17"/>
        <v>BGIOSGA003306</v>
      </c>
    </row>
    <row r="338" spans="1:5" x14ac:dyDescent="0.2">
      <c r="A338" s="4" t="s">
        <v>280</v>
      </c>
      <c r="B338" s="4" t="s">
        <v>282</v>
      </c>
      <c r="C338" s="4" t="str">
        <f t="shared" si="15"/>
        <v>Maize</v>
      </c>
      <c r="D338" s="4" t="str">
        <f t="shared" si="16"/>
        <v>GRMZM2G092694_P01</v>
      </c>
      <c r="E338" s="4" t="str">
        <f t="shared" si="17"/>
        <v>GRMZM2G092694</v>
      </c>
    </row>
    <row r="339" spans="1:5" x14ac:dyDescent="0.2">
      <c r="A339" s="4" t="s">
        <v>283</v>
      </c>
      <c r="B339" s="4" t="s">
        <v>284</v>
      </c>
      <c r="C339" s="4" t="str">
        <f t="shared" si="15"/>
        <v>Rice</v>
      </c>
      <c r="D339" s="4" t="str">
        <f t="shared" si="16"/>
        <v>BGIOSGA003851-PA</v>
      </c>
      <c r="E339" s="4" t="str">
        <f t="shared" si="17"/>
        <v>BGIOSGA003851</v>
      </c>
    </row>
    <row r="340" spans="1:5" x14ac:dyDescent="0.2">
      <c r="A340" s="4" t="s">
        <v>283</v>
      </c>
      <c r="B340" s="4" t="s">
        <v>285</v>
      </c>
      <c r="C340" s="4" t="str">
        <f t="shared" si="15"/>
        <v>Sorghum</v>
      </c>
      <c r="D340" s="4" t="str">
        <f t="shared" si="16"/>
        <v>Sobic.003G199400.1.p</v>
      </c>
      <c r="E340" s="4" t="str">
        <f t="shared" si="17"/>
        <v>Sobic.003G199400</v>
      </c>
    </row>
    <row r="341" spans="1:5" x14ac:dyDescent="0.2">
      <c r="A341" s="4" t="s">
        <v>286</v>
      </c>
      <c r="B341" s="4" t="s">
        <v>287</v>
      </c>
      <c r="C341" s="4" t="str">
        <f t="shared" si="15"/>
        <v>Rice</v>
      </c>
      <c r="D341" s="4" t="str">
        <f t="shared" si="16"/>
        <v>BGIOSGA009118-PA</v>
      </c>
      <c r="E341" s="4" t="str">
        <f t="shared" si="17"/>
        <v>BGIOSGA009118</v>
      </c>
    </row>
    <row r="342" spans="1:5" x14ac:dyDescent="0.2">
      <c r="A342" s="4" t="s">
        <v>286</v>
      </c>
      <c r="B342" s="4" t="s">
        <v>288</v>
      </c>
      <c r="C342" s="4" t="str">
        <f t="shared" si="15"/>
        <v>Sorghum</v>
      </c>
      <c r="D342" s="4" t="str">
        <f t="shared" si="16"/>
        <v>Sobic.004G312200.1.p</v>
      </c>
      <c r="E342" s="4" t="str">
        <f t="shared" si="17"/>
        <v>Sobic.004G312200</v>
      </c>
    </row>
    <row r="343" spans="1:5" x14ac:dyDescent="0.2">
      <c r="A343" s="4" t="s">
        <v>289</v>
      </c>
      <c r="B343" s="4" t="s">
        <v>290</v>
      </c>
      <c r="C343" s="4" t="str">
        <f t="shared" si="15"/>
        <v>Rice</v>
      </c>
      <c r="D343" s="4" t="str">
        <f t="shared" si="16"/>
        <v>BGIOSGA009380-PA</v>
      </c>
      <c r="E343" s="4" t="str">
        <f t="shared" si="17"/>
        <v>BGIOSGA009380</v>
      </c>
    </row>
    <row r="344" spans="1:5" x14ac:dyDescent="0.2">
      <c r="A344" s="4" t="s">
        <v>289</v>
      </c>
      <c r="B344" s="4" t="s">
        <v>291</v>
      </c>
      <c r="C344" s="4" t="str">
        <f t="shared" si="15"/>
        <v>Maize</v>
      </c>
      <c r="D344" s="4" t="str">
        <f t="shared" si="16"/>
        <v>GRMZM2G102583_P02</v>
      </c>
      <c r="E344" s="4" t="str">
        <f t="shared" si="17"/>
        <v>GRMZM2G102583</v>
      </c>
    </row>
    <row r="345" spans="1:5" x14ac:dyDescent="0.2">
      <c r="A345" s="4" t="s">
        <v>292</v>
      </c>
      <c r="B345" s="4" t="s">
        <v>293</v>
      </c>
      <c r="C345" s="4" t="str">
        <f t="shared" si="15"/>
        <v>Rice</v>
      </c>
      <c r="D345" s="4" t="str">
        <f t="shared" si="16"/>
        <v>BGIOSGA012571-PA</v>
      </c>
      <c r="E345" s="4" t="str">
        <f t="shared" si="17"/>
        <v>BGIOSGA012571</v>
      </c>
    </row>
    <row r="346" spans="1:5" x14ac:dyDescent="0.2">
      <c r="A346" s="4" t="s">
        <v>292</v>
      </c>
      <c r="B346" s="4" t="s">
        <v>294</v>
      </c>
      <c r="C346" s="4" t="str">
        <f t="shared" si="15"/>
        <v>Sorghum</v>
      </c>
      <c r="D346" s="4" t="str">
        <f t="shared" si="16"/>
        <v>Sobic.001G381300.1.p</v>
      </c>
      <c r="E346" s="4" t="str">
        <f t="shared" si="17"/>
        <v>Sobic.001G381300</v>
      </c>
    </row>
    <row r="347" spans="1:5" x14ac:dyDescent="0.2">
      <c r="A347" s="4" t="s">
        <v>295</v>
      </c>
      <c r="B347" s="4" t="s">
        <v>296</v>
      </c>
      <c r="C347" s="4" t="str">
        <f t="shared" si="15"/>
        <v>Rice</v>
      </c>
      <c r="D347" s="4" t="str">
        <f t="shared" si="16"/>
        <v>BGIOSGA017481-PA</v>
      </c>
      <c r="E347" s="4" t="str">
        <f t="shared" si="17"/>
        <v>BGIOSGA017481</v>
      </c>
    </row>
    <row r="348" spans="1:5" x14ac:dyDescent="0.2">
      <c r="A348" s="4" t="s">
        <v>295</v>
      </c>
      <c r="B348" s="4" t="s">
        <v>297</v>
      </c>
      <c r="C348" s="4" t="str">
        <f t="shared" si="15"/>
        <v>Sorghum</v>
      </c>
      <c r="D348" s="4" t="str">
        <f t="shared" si="16"/>
        <v>Sobic.009G247300.2.p</v>
      </c>
      <c r="E348" s="4" t="str">
        <f t="shared" si="17"/>
        <v>Sobic.009G247300</v>
      </c>
    </row>
    <row r="349" spans="1:5" x14ac:dyDescent="0.2">
      <c r="A349" s="4" t="s">
        <v>298</v>
      </c>
      <c r="B349" s="4" t="s">
        <v>541</v>
      </c>
      <c r="C349" s="4" t="str">
        <f t="shared" si="15"/>
        <v>Rice</v>
      </c>
      <c r="D349" s="4" t="str">
        <f t="shared" si="16"/>
        <v>BGIOSGA019117-PA</v>
      </c>
      <c r="E349" s="4" t="str">
        <f t="shared" si="17"/>
        <v>BGIOSGA019117</v>
      </c>
    </row>
    <row r="350" spans="1:5" x14ac:dyDescent="0.2">
      <c r="A350" s="4" t="s">
        <v>298</v>
      </c>
      <c r="B350" s="4" t="s">
        <v>542</v>
      </c>
      <c r="C350" s="4" t="str">
        <f t="shared" si="15"/>
        <v>Rice</v>
      </c>
      <c r="D350" s="4" t="str">
        <f t="shared" si="16"/>
        <v>BGIOSGA019119-PA</v>
      </c>
      <c r="E350" s="4" t="str">
        <f t="shared" si="17"/>
        <v>BGIOSGA019119</v>
      </c>
    </row>
    <row r="351" spans="1:5" x14ac:dyDescent="0.2">
      <c r="A351" s="4" t="s">
        <v>300</v>
      </c>
      <c r="B351" s="4" t="s">
        <v>301</v>
      </c>
      <c r="C351" s="4" t="str">
        <f t="shared" si="15"/>
        <v>Sorghum</v>
      </c>
      <c r="D351" s="4" t="str">
        <f t="shared" si="16"/>
        <v>Sobic.002G174200.1.p</v>
      </c>
      <c r="E351" s="4" t="str">
        <f t="shared" si="17"/>
        <v>Sobic.002G174200</v>
      </c>
    </row>
    <row r="352" spans="1:5" x14ac:dyDescent="0.2">
      <c r="A352" s="4" t="s">
        <v>300</v>
      </c>
      <c r="B352" s="4" t="s">
        <v>302</v>
      </c>
      <c r="C352" s="4" t="str">
        <f t="shared" si="15"/>
        <v>Maize</v>
      </c>
      <c r="D352" s="4" t="str">
        <f t="shared" si="16"/>
        <v>GRMZM2G139815_P01</v>
      </c>
      <c r="E352" s="4" t="str">
        <f t="shared" si="17"/>
        <v>GRMZM2G139815</v>
      </c>
    </row>
    <row r="353" spans="1:5" x14ac:dyDescent="0.2">
      <c r="A353" s="4" t="s">
        <v>303</v>
      </c>
      <c r="B353" s="4" t="s">
        <v>304</v>
      </c>
      <c r="C353" s="4" t="str">
        <f t="shared" si="15"/>
        <v>Sorghum</v>
      </c>
      <c r="D353" s="4" t="str">
        <f t="shared" si="16"/>
        <v>Sobic.003G138400.1.p</v>
      </c>
      <c r="E353" s="4" t="str">
        <f t="shared" si="17"/>
        <v>Sobic.003G138400</v>
      </c>
    </row>
    <row r="354" spans="1:5" x14ac:dyDescent="0.2">
      <c r="A354" s="4" t="s">
        <v>303</v>
      </c>
      <c r="B354" s="4" t="s">
        <v>305</v>
      </c>
      <c r="C354" s="4" t="str">
        <f t="shared" si="15"/>
        <v>Maize</v>
      </c>
      <c r="D354" s="4" t="str">
        <f t="shared" si="16"/>
        <v>GRMZM2G327349_P01</v>
      </c>
      <c r="E354" s="4" t="str">
        <f t="shared" si="17"/>
        <v>GRMZM2G327349</v>
      </c>
    </row>
    <row r="355" spans="1:5" x14ac:dyDescent="0.2">
      <c r="A355" s="4" t="s">
        <v>306</v>
      </c>
      <c r="B355" s="4" t="s">
        <v>307</v>
      </c>
      <c r="C355" s="4" t="str">
        <f t="shared" si="15"/>
        <v>Sorghum</v>
      </c>
      <c r="D355" s="4" t="str">
        <f t="shared" si="16"/>
        <v>Sobic.004G271800.1.p</v>
      </c>
      <c r="E355" s="4" t="str">
        <f t="shared" si="17"/>
        <v>Sobic.004G271800</v>
      </c>
    </row>
    <row r="356" spans="1:5" x14ac:dyDescent="0.2">
      <c r="A356" s="4" t="s">
        <v>306</v>
      </c>
      <c r="B356" s="4" t="s">
        <v>308</v>
      </c>
      <c r="C356" s="4" t="str">
        <f t="shared" si="15"/>
        <v>Maize</v>
      </c>
      <c r="D356" s="4" t="str">
        <f t="shared" si="16"/>
        <v>GRMZM5G823157_P01</v>
      </c>
      <c r="E356" s="4" t="str">
        <f t="shared" si="17"/>
        <v>GRMZM5G823157</v>
      </c>
    </row>
    <row r="357" spans="1:5" x14ac:dyDescent="0.2">
      <c r="A357" s="4" t="s">
        <v>309</v>
      </c>
      <c r="B357" s="4" t="s">
        <v>543</v>
      </c>
      <c r="C357" s="4" t="str">
        <f t="shared" si="15"/>
        <v>Sorghum</v>
      </c>
      <c r="D357" s="4" t="str">
        <f t="shared" si="16"/>
        <v>Sobic.006G051700.1.p</v>
      </c>
      <c r="E357" s="4" t="str">
        <f t="shared" si="17"/>
        <v>Sobic.006G051700</v>
      </c>
    </row>
    <row r="358" spans="1:5" x14ac:dyDescent="0.2">
      <c r="A358" s="4" t="s">
        <v>309</v>
      </c>
      <c r="B358" s="4" t="s">
        <v>544</v>
      </c>
      <c r="C358" s="4" t="str">
        <f t="shared" si="15"/>
        <v>Sorghum</v>
      </c>
      <c r="D358" s="4" t="str">
        <f t="shared" si="16"/>
        <v>Sobic.006G051700.2.p</v>
      </c>
      <c r="E358" s="4" t="str">
        <f t="shared" si="17"/>
        <v>Sobic.006G051700</v>
      </c>
    </row>
    <row r="359" spans="1:5" x14ac:dyDescent="0.2">
      <c r="A359" s="4" t="s">
        <v>311</v>
      </c>
      <c r="B359" s="4" t="s">
        <v>312</v>
      </c>
      <c r="C359" s="4" t="str">
        <f t="shared" si="15"/>
        <v>Sorghum</v>
      </c>
      <c r="D359" s="4" t="str">
        <f t="shared" si="16"/>
        <v>Sobic.008G107500.1.p</v>
      </c>
      <c r="E359" s="4" t="str">
        <f t="shared" si="17"/>
        <v>Sobic.008G107500</v>
      </c>
    </row>
    <row r="360" spans="1:5" x14ac:dyDescent="0.2">
      <c r="A360" s="4" t="s">
        <v>311</v>
      </c>
      <c r="B360" s="4" t="s">
        <v>313</v>
      </c>
      <c r="C360" s="4" t="str">
        <f t="shared" si="15"/>
        <v>Maize</v>
      </c>
      <c r="D360" s="4" t="str">
        <f t="shared" si="16"/>
        <v>GRMZM2G143765_P01</v>
      </c>
      <c r="E360" s="4" t="str">
        <f t="shared" si="17"/>
        <v>GRMZM2G143765</v>
      </c>
    </row>
    <row r="361" spans="1:5" x14ac:dyDescent="0.2">
      <c r="A361" s="4" t="s">
        <v>314</v>
      </c>
      <c r="B361" s="4" t="s">
        <v>315</v>
      </c>
      <c r="C361" s="4" t="str">
        <f t="shared" si="15"/>
        <v>Sorghum</v>
      </c>
      <c r="D361" s="4" t="str">
        <f t="shared" si="16"/>
        <v>Sobic.009G206800.1.p</v>
      </c>
      <c r="E361" s="4" t="str">
        <f t="shared" si="17"/>
        <v>Sobic.009G206800</v>
      </c>
    </row>
    <row r="362" spans="1:5" x14ac:dyDescent="0.2">
      <c r="A362" s="4" t="s">
        <v>314</v>
      </c>
      <c r="B362" s="4" t="s">
        <v>316</v>
      </c>
      <c r="C362" s="4" t="str">
        <f t="shared" si="15"/>
        <v>Maize</v>
      </c>
      <c r="D362" s="4" t="str">
        <f t="shared" si="16"/>
        <v>GRMZM2G015433_P01</v>
      </c>
      <c r="E362" s="4" t="str">
        <f t="shared" si="17"/>
        <v>GRMZM2G015433</v>
      </c>
    </row>
    <row r="363" spans="1:5" x14ac:dyDescent="0.2">
      <c r="A363" s="4" t="s">
        <v>317</v>
      </c>
      <c r="B363" s="4" t="s">
        <v>318</v>
      </c>
      <c r="C363" s="4" t="str">
        <f t="shared" si="15"/>
        <v>Sorghum</v>
      </c>
      <c r="D363" s="4" t="str">
        <f t="shared" si="16"/>
        <v>Sobic.009G238200.1.p</v>
      </c>
      <c r="E363" s="4" t="str">
        <f t="shared" si="17"/>
        <v>Sobic.009G238200</v>
      </c>
    </row>
    <row r="364" spans="1:5" x14ac:dyDescent="0.2">
      <c r="A364" s="4" t="s">
        <v>317</v>
      </c>
      <c r="B364" s="4" t="s">
        <v>319</v>
      </c>
      <c r="C364" s="4" t="str">
        <f t="shared" si="15"/>
        <v>Maize</v>
      </c>
      <c r="D364" s="4" t="str">
        <f t="shared" si="16"/>
        <v>GRMZM2G063880_P01</v>
      </c>
      <c r="E364" s="4" t="str">
        <f t="shared" si="17"/>
        <v>GRMZM2G063880</v>
      </c>
    </row>
    <row r="365" spans="1:5" x14ac:dyDescent="0.2">
      <c r="A365" s="4" t="s">
        <v>320</v>
      </c>
      <c r="B365" s="4" t="s">
        <v>545</v>
      </c>
      <c r="C365" s="4" t="str">
        <f t="shared" si="15"/>
        <v>Maize</v>
      </c>
      <c r="D365" s="4" t="str">
        <f t="shared" si="16"/>
        <v>GRMZM2G052671_P01</v>
      </c>
      <c r="E365" s="4" t="str">
        <f t="shared" si="17"/>
        <v>GRMZM2G052671</v>
      </c>
    </row>
    <row r="366" spans="1:5" x14ac:dyDescent="0.2">
      <c r="A366" s="4" t="s">
        <v>320</v>
      </c>
      <c r="B366" s="4" t="s">
        <v>546</v>
      </c>
      <c r="C366" s="4" t="str">
        <f t="shared" si="15"/>
        <v>Maize</v>
      </c>
      <c r="D366" s="4" t="str">
        <f t="shared" si="16"/>
        <v>GRMZM2G052671_P02</v>
      </c>
      <c r="E366" s="4" t="str">
        <f t="shared" si="17"/>
        <v>GRMZM2G052671</v>
      </c>
    </row>
    <row r="367" spans="1:5" x14ac:dyDescent="0.2">
      <c r="A367" s="4" t="s">
        <v>322</v>
      </c>
      <c r="B367" s="4" t="s">
        <v>547</v>
      </c>
      <c r="C367" s="4" t="str">
        <f t="shared" si="15"/>
        <v>Maize</v>
      </c>
      <c r="D367" s="4" t="str">
        <f t="shared" si="16"/>
        <v>GRMZM2G401521_P01</v>
      </c>
      <c r="E367" s="4" t="str">
        <f t="shared" si="17"/>
        <v>GRMZM2G401521</v>
      </c>
    </row>
    <row r="368" spans="1:5" x14ac:dyDescent="0.2">
      <c r="A368" s="4" t="s">
        <v>322</v>
      </c>
      <c r="B368" s="4" t="s">
        <v>548</v>
      </c>
      <c r="C368" s="4" t="str">
        <f t="shared" si="15"/>
        <v>Maize</v>
      </c>
      <c r="D368" s="4" t="str">
        <f t="shared" si="16"/>
        <v>GRMZM2G401521_P02</v>
      </c>
      <c r="E368" s="4" t="str">
        <f t="shared" si="17"/>
        <v>GRMZM2G401521</v>
      </c>
    </row>
    <row r="369" spans="1:5" x14ac:dyDescent="0.2">
      <c r="A369" s="4" t="s">
        <v>324</v>
      </c>
      <c r="B369" s="4" t="s">
        <v>549</v>
      </c>
      <c r="C369" s="4" t="str">
        <f t="shared" si="15"/>
        <v>Maize</v>
      </c>
      <c r="D369" s="4" t="str">
        <f t="shared" si="16"/>
        <v>GRMZM5G812272_P01</v>
      </c>
      <c r="E369" s="4" t="str">
        <f t="shared" si="17"/>
        <v>GRMZM5G812272</v>
      </c>
    </row>
    <row r="370" spans="1:5" x14ac:dyDescent="0.2">
      <c r="A370" s="4" t="s">
        <v>324</v>
      </c>
      <c r="B370" s="4" t="s">
        <v>550</v>
      </c>
      <c r="C370" s="4" t="str">
        <f t="shared" si="15"/>
        <v>Maize</v>
      </c>
      <c r="D370" s="4" t="str">
        <f t="shared" si="16"/>
        <v>GRMZM5G812272_P02</v>
      </c>
      <c r="E370" s="4" t="str">
        <f t="shared" si="17"/>
        <v>GRMZM5G812272</v>
      </c>
    </row>
    <row r="371" spans="1:5" x14ac:dyDescent="0.2">
      <c r="A371" s="4" t="s">
        <v>326</v>
      </c>
      <c r="B371" s="4" t="s">
        <v>551</v>
      </c>
      <c r="C371" s="4" t="str">
        <f t="shared" si="15"/>
        <v>Maize</v>
      </c>
      <c r="D371" s="4" t="str">
        <f t="shared" si="16"/>
        <v>GRMZM5G880069_P02</v>
      </c>
      <c r="E371" s="4" t="str">
        <f t="shared" si="17"/>
        <v>GRMZM5G880069</v>
      </c>
    </row>
    <row r="372" spans="1:5" x14ac:dyDescent="0.2">
      <c r="A372" s="4" t="s">
        <v>326</v>
      </c>
      <c r="B372" s="4" t="s">
        <v>552</v>
      </c>
      <c r="C372" s="4" t="str">
        <f t="shared" si="15"/>
        <v>Maize</v>
      </c>
      <c r="D372" s="4" t="str">
        <f t="shared" si="16"/>
        <v>GRMZM5G880069_P03</v>
      </c>
      <c r="E372" s="4" t="str">
        <f t="shared" si="17"/>
        <v>GRMZM5G880069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7E74-DA61-0C4A-BEEC-D1BB489A85BD}">
  <dimension ref="A1:O62"/>
  <sheetViews>
    <sheetView workbookViewId="0"/>
  </sheetViews>
  <sheetFormatPr baseColWidth="10" defaultRowHeight="16" x14ac:dyDescent="0.2"/>
  <cols>
    <col min="1" max="1" width="10.33203125" bestFit="1" customWidth="1"/>
    <col min="2" max="2" width="8" bestFit="1" customWidth="1"/>
    <col min="3" max="3" width="17.83203125" customWidth="1"/>
    <col min="4" max="4" width="22.1640625" customWidth="1"/>
    <col min="5" max="5" width="18.5" customWidth="1"/>
    <col min="6" max="6" width="18.6640625" customWidth="1"/>
    <col min="7" max="7" width="9.83203125" bestFit="1" customWidth="1"/>
    <col min="9" max="9" width="7.1640625" bestFit="1" customWidth="1"/>
    <col min="10" max="10" width="10.6640625" bestFit="1" customWidth="1"/>
    <col min="11" max="11" width="10.5" bestFit="1" customWidth="1"/>
    <col min="12" max="12" width="22.1640625" customWidth="1"/>
    <col min="13" max="13" width="10.5" bestFit="1" customWidth="1"/>
    <col min="14" max="14" width="10.1640625" bestFit="1" customWidth="1"/>
    <col min="15" max="15" width="10.33203125" bestFit="1" customWidth="1"/>
  </cols>
  <sheetData>
    <row r="1" spans="1:15" x14ac:dyDescent="0.2">
      <c r="A1" t="s">
        <v>554</v>
      </c>
    </row>
    <row r="3" spans="1:15" ht="51" x14ac:dyDescent="0.2">
      <c r="A3" s="10" t="s">
        <v>0</v>
      </c>
      <c r="B3" s="10" t="s">
        <v>555</v>
      </c>
      <c r="C3" s="10" t="s">
        <v>556</v>
      </c>
      <c r="D3" s="10" t="s">
        <v>557</v>
      </c>
      <c r="E3" s="10" t="s">
        <v>558</v>
      </c>
      <c r="F3" s="10" t="s">
        <v>559</v>
      </c>
      <c r="G3" s="10" t="s">
        <v>560</v>
      </c>
      <c r="H3" s="10" t="s">
        <v>561</v>
      </c>
      <c r="I3" s="10" t="s">
        <v>562</v>
      </c>
      <c r="J3" s="10" t="s">
        <v>563</v>
      </c>
      <c r="K3" s="10" t="s">
        <v>564</v>
      </c>
      <c r="L3" s="10" t="s">
        <v>565</v>
      </c>
      <c r="M3" s="10" t="s">
        <v>566</v>
      </c>
      <c r="N3" s="10" t="s">
        <v>567</v>
      </c>
      <c r="O3" s="10" t="s">
        <v>568</v>
      </c>
    </row>
    <row r="4" spans="1:15" x14ac:dyDescent="0.2">
      <c r="A4" t="s">
        <v>4</v>
      </c>
      <c r="B4">
        <v>11</v>
      </c>
      <c r="C4">
        <v>551</v>
      </c>
      <c r="D4">
        <v>54.63</v>
      </c>
      <c r="E4">
        <v>38.18</v>
      </c>
      <c r="F4">
        <v>100</v>
      </c>
      <c r="G4">
        <v>59</v>
      </c>
      <c r="H4">
        <v>10.71</v>
      </c>
      <c r="I4">
        <v>37.82</v>
      </c>
      <c r="J4">
        <v>52.31</v>
      </c>
      <c r="K4">
        <v>55.3</v>
      </c>
      <c r="L4">
        <v>58.69</v>
      </c>
      <c r="M4">
        <v>12</v>
      </c>
      <c r="N4">
        <v>16</v>
      </c>
      <c r="O4">
        <v>12</v>
      </c>
    </row>
    <row r="5" spans="1:15" x14ac:dyDescent="0.2">
      <c r="A5" t="s">
        <v>8</v>
      </c>
      <c r="B5">
        <v>10</v>
      </c>
      <c r="C5">
        <v>246</v>
      </c>
      <c r="D5">
        <v>78.959999999999994</v>
      </c>
      <c r="E5">
        <v>60.37</v>
      </c>
      <c r="F5">
        <v>100</v>
      </c>
      <c r="G5">
        <v>74</v>
      </c>
      <c r="H5">
        <v>30.08</v>
      </c>
      <c r="I5">
        <v>10.199999999999999</v>
      </c>
      <c r="J5">
        <v>64.17</v>
      </c>
      <c r="K5">
        <v>66.87</v>
      </c>
      <c r="L5">
        <v>78.83</v>
      </c>
      <c r="M5">
        <v>2</v>
      </c>
      <c r="N5">
        <v>14</v>
      </c>
      <c r="O5">
        <v>7</v>
      </c>
    </row>
    <row r="6" spans="1:15" x14ac:dyDescent="0.2">
      <c r="A6" t="s">
        <v>12</v>
      </c>
      <c r="B6">
        <v>8</v>
      </c>
      <c r="C6">
        <v>519</v>
      </c>
      <c r="D6">
        <v>60.74</v>
      </c>
      <c r="E6">
        <v>48.02</v>
      </c>
      <c r="F6">
        <v>99.31</v>
      </c>
      <c r="G6">
        <v>41</v>
      </c>
      <c r="H6">
        <v>7.9</v>
      </c>
      <c r="I6">
        <v>36.270000000000003</v>
      </c>
      <c r="J6">
        <v>57.14</v>
      </c>
      <c r="K6">
        <v>59.23</v>
      </c>
      <c r="L6">
        <v>65.069999999999993</v>
      </c>
      <c r="M6">
        <v>9</v>
      </c>
      <c r="N6">
        <v>6</v>
      </c>
      <c r="O6">
        <v>6</v>
      </c>
    </row>
    <row r="7" spans="1:15" x14ac:dyDescent="0.2">
      <c r="A7" t="s">
        <v>16</v>
      </c>
      <c r="B7">
        <v>8</v>
      </c>
      <c r="C7">
        <v>410</v>
      </c>
      <c r="D7">
        <v>71.89</v>
      </c>
      <c r="E7">
        <v>59.93</v>
      </c>
      <c r="F7">
        <v>100</v>
      </c>
      <c r="G7">
        <v>127</v>
      </c>
      <c r="H7">
        <v>30.98</v>
      </c>
      <c r="I7">
        <v>25.4</v>
      </c>
      <c r="J7">
        <v>70.19</v>
      </c>
      <c r="K7">
        <v>72.12</v>
      </c>
      <c r="L7">
        <v>74.84</v>
      </c>
      <c r="M7">
        <v>8</v>
      </c>
      <c r="N7">
        <v>4</v>
      </c>
      <c r="O7">
        <v>8</v>
      </c>
    </row>
    <row r="8" spans="1:15" x14ac:dyDescent="0.2">
      <c r="A8" t="s">
        <v>20</v>
      </c>
      <c r="B8">
        <v>8</v>
      </c>
      <c r="C8">
        <v>404</v>
      </c>
      <c r="D8">
        <v>47.27</v>
      </c>
      <c r="E8">
        <v>33.33</v>
      </c>
      <c r="F8">
        <v>89.69</v>
      </c>
      <c r="G8">
        <v>40</v>
      </c>
      <c r="H8">
        <v>9.9</v>
      </c>
      <c r="I8">
        <v>26.33</v>
      </c>
      <c r="J8">
        <v>41.76</v>
      </c>
      <c r="K8">
        <v>45.7</v>
      </c>
      <c r="L8">
        <v>50.79</v>
      </c>
      <c r="M8">
        <v>6</v>
      </c>
      <c r="N8">
        <v>9</v>
      </c>
      <c r="O8">
        <v>6</v>
      </c>
    </row>
    <row r="9" spans="1:15" x14ac:dyDescent="0.2">
      <c r="A9" t="s">
        <v>27</v>
      </c>
      <c r="B9">
        <v>7</v>
      </c>
      <c r="C9">
        <v>465</v>
      </c>
      <c r="D9">
        <v>70.37</v>
      </c>
      <c r="E9">
        <v>63.17</v>
      </c>
      <c r="F9">
        <v>96.2</v>
      </c>
      <c r="G9">
        <v>154</v>
      </c>
      <c r="H9">
        <v>33.119999999999997</v>
      </c>
      <c r="I9">
        <v>23.41</v>
      </c>
      <c r="J9">
        <v>69.7</v>
      </c>
      <c r="K9">
        <v>69.92</v>
      </c>
      <c r="L9">
        <v>70.78</v>
      </c>
      <c r="M9">
        <v>4</v>
      </c>
      <c r="N9">
        <v>6</v>
      </c>
      <c r="O9">
        <v>6</v>
      </c>
    </row>
    <row r="10" spans="1:15" x14ac:dyDescent="0.2">
      <c r="A10" t="s">
        <v>31</v>
      </c>
      <c r="B10">
        <v>7</v>
      </c>
      <c r="C10">
        <v>266</v>
      </c>
      <c r="D10">
        <v>79.13</v>
      </c>
      <c r="E10">
        <v>54.2</v>
      </c>
      <c r="F10">
        <v>99.48</v>
      </c>
      <c r="G10">
        <v>66</v>
      </c>
      <c r="H10">
        <v>24.81</v>
      </c>
      <c r="I10">
        <v>28.25</v>
      </c>
      <c r="J10">
        <v>62.8</v>
      </c>
      <c r="K10">
        <v>69.31</v>
      </c>
      <c r="L10">
        <v>82.34</v>
      </c>
      <c r="M10">
        <v>5</v>
      </c>
      <c r="N10">
        <v>1</v>
      </c>
      <c r="O10">
        <v>5</v>
      </c>
    </row>
    <row r="11" spans="1:15" x14ac:dyDescent="0.2">
      <c r="A11" t="s">
        <v>35</v>
      </c>
      <c r="B11">
        <v>7</v>
      </c>
      <c r="C11">
        <v>539</v>
      </c>
      <c r="D11">
        <v>87.32</v>
      </c>
      <c r="E11">
        <v>77.27</v>
      </c>
      <c r="F11">
        <v>100</v>
      </c>
      <c r="G11">
        <v>217</v>
      </c>
      <c r="H11">
        <v>40.26</v>
      </c>
      <c r="I11">
        <v>11.85</v>
      </c>
      <c r="J11">
        <v>77.42</v>
      </c>
      <c r="K11">
        <v>79.45</v>
      </c>
      <c r="L11">
        <v>87.7</v>
      </c>
      <c r="M11">
        <v>4</v>
      </c>
      <c r="N11">
        <v>2</v>
      </c>
      <c r="O11">
        <v>8</v>
      </c>
    </row>
    <row r="12" spans="1:15" x14ac:dyDescent="0.2">
      <c r="A12" t="s">
        <v>39</v>
      </c>
      <c r="B12">
        <v>7</v>
      </c>
      <c r="C12">
        <v>295</v>
      </c>
      <c r="D12">
        <v>65.959999999999994</v>
      </c>
      <c r="E12">
        <v>50.92</v>
      </c>
      <c r="F12">
        <v>100</v>
      </c>
      <c r="G12">
        <v>54</v>
      </c>
      <c r="H12">
        <v>18.309999999999999</v>
      </c>
      <c r="I12">
        <v>12.54</v>
      </c>
      <c r="J12">
        <v>56.02</v>
      </c>
      <c r="K12">
        <v>54.82</v>
      </c>
      <c r="L12">
        <v>73.34</v>
      </c>
      <c r="M12">
        <v>2</v>
      </c>
      <c r="N12">
        <v>8</v>
      </c>
      <c r="O12">
        <v>4</v>
      </c>
    </row>
    <row r="13" spans="1:15" x14ac:dyDescent="0.2">
      <c r="A13" t="s">
        <v>43</v>
      </c>
      <c r="B13">
        <v>6</v>
      </c>
      <c r="C13">
        <v>700</v>
      </c>
      <c r="D13">
        <v>85.98</v>
      </c>
      <c r="E13">
        <v>72.67</v>
      </c>
      <c r="F13">
        <v>100</v>
      </c>
      <c r="G13">
        <v>208</v>
      </c>
      <c r="H13">
        <v>29.71</v>
      </c>
      <c r="I13">
        <v>34.69</v>
      </c>
      <c r="J13">
        <v>77.09</v>
      </c>
      <c r="K13">
        <v>74.319999999999993</v>
      </c>
      <c r="L13">
        <v>84.96</v>
      </c>
      <c r="M13">
        <v>3</v>
      </c>
      <c r="N13">
        <v>2</v>
      </c>
      <c r="O13">
        <v>6</v>
      </c>
    </row>
    <row r="14" spans="1:15" x14ac:dyDescent="0.2">
      <c r="A14" t="s">
        <v>47</v>
      </c>
      <c r="B14">
        <v>6</v>
      </c>
      <c r="C14">
        <v>447</v>
      </c>
      <c r="D14">
        <v>46.41</v>
      </c>
      <c r="E14">
        <v>36.880000000000003</v>
      </c>
      <c r="F14">
        <v>86.54</v>
      </c>
      <c r="G14">
        <v>45</v>
      </c>
      <c r="H14">
        <v>10.07</v>
      </c>
      <c r="I14">
        <v>31.88</v>
      </c>
      <c r="J14">
        <v>44.45</v>
      </c>
      <c r="K14">
        <v>46.85</v>
      </c>
      <c r="L14">
        <v>61.8</v>
      </c>
      <c r="M14">
        <v>6</v>
      </c>
      <c r="N14">
        <v>3</v>
      </c>
      <c r="O14">
        <v>2</v>
      </c>
    </row>
    <row r="15" spans="1:15" x14ac:dyDescent="0.2">
      <c r="A15" t="s">
        <v>51</v>
      </c>
      <c r="B15">
        <v>6</v>
      </c>
      <c r="C15">
        <v>734</v>
      </c>
      <c r="D15">
        <v>69.790000000000006</v>
      </c>
      <c r="E15">
        <v>61.11</v>
      </c>
      <c r="F15">
        <v>93.32</v>
      </c>
      <c r="G15">
        <v>189</v>
      </c>
      <c r="H15">
        <v>25.75</v>
      </c>
      <c r="I15">
        <v>25.82</v>
      </c>
      <c r="J15">
        <v>70.09</v>
      </c>
      <c r="K15">
        <v>67.95</v>
      </c>
      <c r="L15">
        <v>76.010000000000005</v>
      </c>
      <c r="M15">
        <v>4</v>
      </c>
      <c r="N15">
        <v>4</v>
      </c>
      <c r="O15">
        <v>4</v>
      </c>
    </row>
    <row r="16" spans="1:15" x14ac:dyDescent="0.2">
      <c r="A16" t="s">
        <v>55</v>
      </c>
      <c r="B16">
        <v>6</v>
      </c>
      <c r="C16">
        <v>508</v>
      </c>
      <c r="D16">
        <v>72.37</v>
      </c>
      <c r="E16">
        <v>49.17</v>
      </c>
      <c r="F16">
        <v>98.06</v>
      </c>
      <c r="G16">
        <v>115</v>
      </c>
      <c r="H16">
        <v>22.64</v>
      </c>
      <c r="I16">
        <v>17.68</v>
      </c>
      <c r="J16">
        <v>61.54</v>
      </c>
      <c r="K16">
        <v>63.85</v>
      </c>
      <c r="L16">
        <v>89.63</v>
      </c>
      <c r="M16">
        <v>6</v>
      </c>
      <c r="N16">
        <v>2</v>
      </c>
      <c r="O16">
        <v>3</v>
      </c>
    </row>
    <row r="17" spans="1:15" x14ac:dyDescent="0.2">
      <c r="A17" t="s">
        <v>62</v>
      </c>
      <c r="B17">
        <v>6</v>
      </c>
      <c r="C17">
        <v>939</v>
      </c>
      <c r="D17">
        <v>78.239999999999995</v>
      </c>
      <c r="E17">
        <v>61.75</v>
      </c>
      <c r="F17">
        <v>100</v>
      </c>
      <c r="G17">
        <v>353</v>
      </c>
      <c r="H17">
        <v>37.590000000000003</v>
      </c>
      <c r="I17">
        <v>21.37</v>
      </c>
      <c r="J17">
        <v>62.41</v>
      </c>
      <c r="K17">
        <v>62.04</v>
      </c>
      <c r="L17">
        <v>83.06</v>
      </c>
      <c r="M17">
        <v>3</v>
      </c>
      <c r="N17">
        <v>2</v>
      </c>
      <c r="O17">
        <v>6</v>
      </c>
    </row>
    <row r="18" spans="1:15" x14ac:dyDescent="0.2">
      <c r="A18" t="s">
        <v>66</v>
      </c>
      <c r="B18">
        <v>6</v>
      </c>
      <c r="C18">
        <v>709</v>
      </c>
      <c r="D18">
        <v>75.849999999999994</v>
      </c>
      <c r="E18">
        <v>57.1</v>
      </c>
      <c r="F18">
        <v>100</v>
      </c>
      <c r="G18">
        <v>158</v>
      </c>
      <c r="H18">
        <v>22.28</v>
      </c>
      <c r="I18">
        <v>20.399999999999999</v>
      </c>
      <c r="J18">
        <v>64.650000000000006</v>
      </c>
      <c r="K18">
        <v>66.03</v>
      </c>
      <c r="L18">
        <v>89.49</v>
      </c>
      <c r="M18">
        <v>4</v>
      </c>
      <c r="N18">
        <v>4</v>
      </c>
      <c r="O18">
        <v>4</v>
      </c>
    </row>
    <row r="19" spans="1:15" x14ac:dyDescent="0.2">
      <c r="A19" t="s">
        <v>70</v>
      </c>
      <c r="B19">
        <v>6</v>
      </c>
      <c r="C19">
        <v>405</v>
      </c>
      <c r="D19">
        <v>79.73</v>
      </c>
      <c r="E19">
        <v>62.42</v>
      </c>
      <c r="F19">
        <v>100</v>
      </c>
      <c r="G19">
        <v>91</v>
      </c>
      <c r="H19">
        <v>22.47</v>
      </c>
      <c r="I19">
        <v>24.53</v>
      </c>
      <c r="J19">
        <v>63.87</v>
      </c>
      <c r="K19">
        <v>64.86</v>
      </c>
      <c r="L19">
        <v>85.58</v>
      </c>
      <c r="M19">
        <v>4</v>
      </c>
      <c r="N19">
        <v>1</v>
      </c>
      <c r="O19">
        <v>4</v>
      </c>
    </row>
    <row r="20" spans="1:15" x14ac:dyDescent="0.2">
      <c r="A20" t="s">
        <v>77</v>
      </c>
      <c r="B20">
        <v>6</v>
      </c>
      <c r="C20">
        <v>429</v>
      </c>
      <c r="D20">
        <v>62.04</v>
      </c>
      <c r="E20">
        <v>44.86</v>
      </c>
      <c r="F20">
        <v>88.69</v>
      </c>
      <c r="G20">
        <v>111</v>
      </c>
      <c r="H20">
        <v>25.87</v>
      </c>
      <c r="I20">
        <v>18.760000000000002</v>
      </c>
      <c r="J20">
        <v>46.82</v>
      </c>
      <c r="K20">
        <v>46.15</v>
      </c>
      <c r="L20">
        <v>77.31</v>
      </c>
      <c r="M20">
        <v>4</v>
      </c>
      <c r="N20">
        <v>4</v>
      </c>
      <c r="O20">
        <v>4</v>
      </c>
    </row>
    <row r="21" spans="1:15" x14ac:dyDescent="0.2">
      <c r="A21" t="s">
        <v>81</v>
      </c>
      <c r="B21">
        <v>6</v>
      </c>
      <c r="C21">
        <v>600</v>
      </c>
      <c r="D21">
        <v>73.73</v>
      </c>
      <c r="E21">
        <v>53.85</v>
      </c>
      <c r="F21">
        <v>100</v>
      </c>
      <c r="G21">
        <v>60</v>
      </c>
      <c r="H21">
        <v>10</v>
      </c>
      <c r="I21">
        <v>55.31</v>
      </c>
      <c r="J21">
        <v>59.1</v>
      </c>
      <c r="K21">
        <v>60.38</v>
      </c>
      <c r="L21">
        <v>81.739999999999995</v>
      </c>
      <c r="M21">
        <v>6</v>
      </c>
      <c r="N21">
        <v>2</v>
      </c>
      <c r="O21">
        <v>3</v>
      </c>
    </row>
    <row r="22" spans="1:15" x14ac:dyDescent="0.2">
      <c r="A22" t="s">
        <v>85</v>
      </c>
      <c r="B22">
        <v>5</v>
      </c>
      <c r="C22">
        <v>339</v>
      </c>
      <c r="D22">
        <v>85.33</v>
      </c>
      <c r="E22">
        <v>70.099999999999994</v>
      </c>
      <c r="F22">
        <v>99.5</v>
      </c>
      <c r="G22">
        <v>127</v>
      </c>
      <c r="H22">
        <v>37.46</v>
      </c>
      <c r="I22">
        <v>17.82</v>
      </c>
      <c r="J22">
        <v>72.709999999999994</v>
      </c>
      <c r="K22">
        <v>74.48</v>
      </c>
      <c r="L22">
        <v>88.26</v>
      </c>
      <c r="M22">
        <v>3</v>
      </c>
      <c r="N22">
        <v>1</v>
      </c>
      <c r="O22">
        <v>3</v>
      </c>
    </row>
    <row r="23" spans="1:15" x14ac:dyDescent="0.2">
      <c r="A23" t="s">
        <v>89</v>
      </c>
      <c r="B23">
        <v>5</v>
      </c>
      <c r="C23">
        <v>582</v>
      </c>
      <c r="D23">
        <v>64.17</v>
      </c>
      <c r="E23">
        <v>47.89</v>
      </c>
      <c r="F23">
        <v>89.96</v>
      </c>
      <c r="G23">
        <v>118</v>
      </c>
      <c r="H23">
        <v>20.27</v>
      </c>
      <c r="I23">
        <v>22.23</v>
      </c>
      <c r="J23">
        <v>62.99</v>
      </c>
      <c r="K23">
        <v>63.69</v>
      </c>
      <c r="L23">
        <v>89.96</v>
      </c>
      <c r="M23">
        <v>3</v>
      </c>
      <c r="N23">
        <v>3</v>
      </c>
      <c r="O23">
        <v>1</v>
      </c>
    </row>
    <row r="24" spans="1:15" x14ac:dyDescent="0.2">
      <c r="A24" t="s">
        <v>93</v>
      </c>
      <c r="B24">
        <v>5</v>
      </c>
      <c r="C24">
        <v>410</v>
      </c>
      <c r="D24">
        <v>89.06</v>
      </c>
      <c r="E24">
        <v>84.03</v>
      </c>
      <c r="F24">
        <v>100</v>
      </c>
      <c r="G24">
        <v>300</v>
      </c>
      <c r="H24">
        <v>73.17</v>
      </c>
      <c r="I24">
        <v>3.46</v>
      </c>
      <c r="J24">
        <v>84.41</v>
      </c>
      <c r="K24">
        <v>85.64</v>
      </c>
      <c r="L24">
        <v>90.52</v>
      </c>
      <c r="M24">
        <v>3</v>
      </c>
      <c r="N24">
        <v>1</v>
      </c>
      <c r="O24">
        <v>3</v>
      </c>
    </row>
    <row r="25" spans="1:15" x14ac:dyDescent="0.2">
      <c r="A25" t="s">
        <v>97</v>
      </c>
      <c r="B25">
        <v>5</v>
      </c>
      <c r="C25">
        <v>323</v>
      </c>
      <c r="D25">
        <v>88.92</v>
      </c>
      <c r="E25">
        <v>71.680000000000007</v>
      </c>
      <c r="F25">
        <v>100</v>
      </c>
      <c r="G25">
        <v>94</v>
      </c>
      <c r="H25">
        <v>29.1</v>
      </c>
      <c r="I25">
        <v>28.48</v>
      </c>
      <c r="J25">
        <v>81.47</v>
      </c>
      <c r="K25">
        <v>75.86</v>
      </c>
      <c r="L25">
        <v>93.63</v>
      </c>
      <c r="M25">
        <v>2</v>
      </c>
      <c r="N25">
        <v>2</v>
      </c>
      <c r="O25">
        <v>4</v>
      </c>
    </row>
    <row r="26" spans="1:15" x14ac:dyDescent="0.2">
      <c r="A26" t="s">
        <v>101</v>
      </c>
      <c r="B26">
        <v>5</v>
      </c>
      <c r="C26">
        <v>719</v>
      </c>
      <c r="D26">
        <v>73.05</v>
      </c>
      <c r="E26">
        <v>61.18</v>
      </c>
      <c r="F26">
        <v>98.55</v>
      </c>
      <c r="G26">
        <v>272</v>
      </c>
      <c r="H26">
        <v>37.83</v>
      </c>
      <c r="I26">
        <v>17.190000000000001</v>
      </c>
      <c r="J26">
        <v>62.05</v>
      </c>
      <c r="K26">
        <v>61.18</v>
      </c>
      <c r="L26">
        <v>77.78</v>
      </c>
      <c r="M26">
        <v>3</v>
      </c>
      <c r="N26">
        <v>1</v>
      </c>
      <c r="O26">
        <v>3</v>
      </c>
    </row>
    <row r="27" spans="1:15" x14ac:dyDescent="0.2">
      <c r="A27" t="s">
        <v>105</v>
      </c>
      <c r="B27">
        <v>5</v>
      </c>
      <c r="C27">
        <v>494</v>
      </c>
      <c r="D27">
        <v>45.35</v>
      </c>
      <c r="E27">
        <v>27.92</v>
      </c>
      <c r="F27">
        <v>81.73</v>
      </c>
      <c r="G27">
        <v>51</v>
      </c>
      <c r="H27">
        <v>10.32</v>
      </c>
      <c r="I27">
        <v>31.66</v>
      </c>
      <c r="J27">
        <v>41.1</v>
      </c>
      <c r="K27">
        <v>38.049999999999997</v>
      </c>
      <c r="L27">
        <v>67.53</v>
      </c>
      <c r="M27">
        <v>3</v>
      </c>
      <c r="N27">
        <v>3</v>
      </c>
      <c r="O27">
        <v>1</v>
      </c>
    </row>
    <row r="28" spans="1:15" x14ac:dyDescent="0.2">
      <c r="A28" t="s">
        <v>112</v>
      </c>
      <c r="B28">
        <v>4</v>
      </c>
      <c r="C28">
        <v>597</v>
      </c>
      <c r="D28">
        <v>77.08</v>
      </c>
      <c r="E28">
        <v>67.64</v>
      </c>
      <c r="F28">
        <v>88.87</v>
      </c>
      <c r="G28">
        <v>294</v>
      </c>
      <c r="H28">
        <v>49.25</v>
      </c>
      <c r="I28">
        <v>10.3</v>
      </c>
      <c r="J28">
        <v>68.89</v>
      </c>
      <c r="K28">
        <v>67.64</v>
      </c>
      <c r="L28">
        <v>86.8</v>
      </c>
      <c r="M28">
        <v>2</v>
      </c>
      <c r="N28">
        <v>1</v>
      </c>
      <c r="O28">
        <v>2</v>
      </c>
    </row>
    <row r="29" spans="1:15" x14ac:dyDescent="0.2">
      <c r="A29" t="s">
        <v>116</v>
      </c>
      <c r="B29">
        <v>4</v>
      </c>
      <c r="C29">
        <v>402</v>
      </c>
      <c r="D29">
        <v>80.06</v>
      </c>
      <c r="E29">
        <v>69.569999999999993</v>
      </c>
      <c r="F29">
        <v>92.38</v>
      </c>
      <c r="G29">
        <v>217</v>
      </c>
      <c r="H29">
        <v>53.98</v>
      </c>
      <c r="I29">
        <v>9.6999999999999993</v>
      </c>
      <c r="J29">
        <v>69.569999999999993</v>
      </c>
      <c r="K29">
        <v>75.14</v>
      </c>
      <c r="L29">
        <v>85.47</v>
      </c>
      <c r="M29">
        <v>1</v>
      </c>
      <c r="N29">
        <v>1</v>
      </c>
      <c r="O29">
        <v>1</v>
      </c>
    </row>
    <row r="30" spans="1:15" x14ac:dyDescent="0.2">
      <c r="A30" t="s">
        <v>120</v>
      </c>
      <c r="B30">
        <v>4</v>
      </c>
      <c r="C30">
        <v>281</v>
      </c>
      <c r="D30">
        <v>69.650000000000006</v>
      </c>
      <c r="E30">
        <v>50.45</v>
      </c>
      <c r="F30">
        <v>88.56</v>
      </c>
      <c r="G30">
        <v>103</v>
      </c>
      <c r="H30">
        <v>36.65</v>
      </c>
      <c r="I30">
        <v>12.81</v>
      </c>
      <c r="J30">
        <v>56.89</v>
      </c>
      <c r="K30">
        <v>65.11</v>
      </c>
      <c r="L30">
        <v>79.14</v>
      </c>
      <c r="M30">
        <v>2</v>
      </c>
      <c r="N30">
        <v>1</v>
      </c>
      <c r="O30">
        <v>2</v>
      </c>
    </row>
    <row r="31" spans="1:15" x14ac:dyDescent="0.2">
      <c r="A31" t="s">
        <v>124</v>
      </c>
      <c r="B31">
        <v>4</v>
      </c>
      <c r="C31">
        <v>318</v>
      </c>
      <c r="D31">
        <v>56.61</v>
      </c>
      <c r="E31">
        <v>38.94</v>
      </c>
      <c r="F31">
        <v>87.6</v>
      </c>
      <c r="G31">
        <v>64</v>
      </c>
      <c r="H31">
        <v>20.13</v>
      </c>
      <c r="I31">
        <v>19.100000000000001</v>
      </c>
      <c r="J31">
        <v>51.36</v>
      </c>
      <c r="K31">
        <v>50.94</v>
      </c>
      <c r="L31">
        <v>87.6</v>
      </c>
      <c r="M31">
        <v>2</v>
      </c>
      <c r="N31">
        <v>2</v>
      </c>
      <c r="O31">
        <v>1</v>
      </c>
    </row>
    <row r="32" spans="1:15" x14ac:dyDescent="0.2">
      <c r="A32" t="s">
        <v>128</v>
      </c>
      <c r="B32">
        <v>4</v>
      </c>
      <c r="C32">
        <v>247</v>
      </c>
      <c r="D32">
        <v>77.349999999999994</v>
      </c>
      <c r="E32">
        <v>61.15</v>
      </c>
      <c r="F32">
        <v>97.3</v>
      </c>
      <c r="G32">
        <v>89</v>
      </c>
      <c r="H32">
        <v>36.03</v>
      </c>
      <c r="I32">
        <v>11.94</v>
      </c>
      <c r="J32">
        <v>66.010000000000005</v>
      </c>
      <c r="K32">
        <v>72.459999999999994</v>
      </c>
      <c r="L32">
        <v>81.150000000000006</v>
      </c>
      <c r="M32">
        <v>2</v>
      </c>
      <c r="N32">
        <v>1</v>
      </c>
      <c r="O32">
        <v>2</v>
      </c>
    </row>
    <row r="33" spans="1:15" x14ac:dyDescent="0.2">
      <c r="A33" t="s">
        <v>132</v>
      </c>
      <c r="B33">
        <v>4</v>
      </c>
      <c r="C33">
        <v>155</v>
      </c>
      <c r="D33">
        <v>72.5</v>
      </c>
      <c r="E33">
        <v>55.73</v>
      </c>
      <c r="F33">
        <v>84.85</v>
      </c>
      <c r="G33">
        <v>59</v>
      </c>
      <c r="H33">
        <v>38.06</v>
      </c>
      <c r="I33">
        <v>15.81</v>
      </c>
      <c r="J33">
        <v>65.099999999999994</v>
      </c>
      <c r="K33">
        <v>62.79</v>
      </c>
      <c r="L33">
        <v>81.23</v>
      </c>
      <c r="M33">
        <v>2</v>
      </c>
      <c r="N33">
        <v>1</v>
      </c>
      <c r="O33">
        <v>2</v>
      </c>
    </row>
    <row r="34" spans="1:15" x14ac:dyDescent="0.2">
      <c r="A34" t="s">
        <v>136</v>
      </c>
      <c r="B34">
        <v>4</v>
      </c>
      <c r="C34">
        <v>233</v>
      </c>
      <c r="D34">
        <v>86.85</v>
      </c>
      <c r="E34">
        <v>80.69</v>
      </c>
      <c r="F34">
        <v>99.05</v>
      </c>
      <c r="G34">
        <v>162</v>
      </c>
      <c r="H34">
        <v>69.53</v>
      </c>
      <c r="I34">
        <v>7.83</v>
      </c>
      <c r="J34">
        <v>81.19</v>
      </c>
      <c r="K34">
        <v>82.18</v>
      </c>
      <c r="L34">
        <v>95.33</v>
      </c>
      <c r="M34">
        <v>2</v>
      </c>
      <c r="N34">
        <v>2</v>
      </c>
      <c r="O34">
        <v>1</v>
      </c>
    </row>
    <row r="35" spans="1:15" x14ac:dyDescent="0.2">
      <c r="A35" t="s">
        <v>140</v>
      </c>
      <c r="B35">
        <v>4</v>
      </c>
      <c r="C35">
        <v>440</v>
      </c>
      <c r="D35">
        <v>75.05</v>
      </c>
      <c r="E35">
        <v>58.68</v>
      </c>
      <c r="F35">
        <v>100</v>
      </c>
      <c r="G35">
        <v>188</v>
      </c>
      <c r="H35">
        <v>42.73</v>
      </c>
      <c r="I35">
        <v>11.93</v>
      </c>
      <c r="J35">
        <v>58.68</v>
      </c>
      <c r="K35">
        <v>61.6</v>
      </c>
      <c r="L35">
        <v>84.21</v>
      </c>
      <c r="M35">
        <v>1</v>
      </c>
      <c r="N35">
        <v>2</v>
      </c>
      <c r="O35">
        <v>2</v>
      </c>
    </row>
    <row r="36" spans="1:15" x14ac:dyDescent="0.2">
      <c r="A36" t="s">
        <v>144</v>
      </c>
      <c r="B36">
        <v>4</v>
      </c>
      <c r="C36">
        <v>396</v>
      </c>
      <c r="D36">
        <v>67.88</v>
      </c>
      <c r="E36">
        <v>51.23</v>
      </c>
      <c r="F36">
        <v>83.33</v>
      </c>
      <c r="G36">
        <v>84</v>
      </c>
      <c r="H36">
        <v>21.21</v>
      </c>
      <c r="I36">
        <v>26.96</v>
      </c>
      <c r="J36">
        <v>56.55</v>
      </c>
      <c r="K36">
        <v>51.85</v>
      </c>
      <c r="L36">
        <v>80.66</v>
      </c>
      <c r="M36">
        <v>2</v>
      </c>
      <c r="N36">
        <v>1</v>
      </c>
      <c r="O36">
        <v>2</v>
      </c>
    </row>
    <row r="37" spans="1:15" x14ac:dyDescent="0.2">
      <c r="A37" t="s">
        <v>148</v>
      </c>
      <c r="B37">
        <v>4</v>
      </c>
      <c r="C37">
        <v>1268</v>
      </c>
      <c r="D37">
        <v>71.88</v>
      </c>
      <c r="E37">
        <v>57.95</v>
      </c>
      <c r="F37">
        <v>97.91</v>
      </c>
      <c r="G37">
        <v>165</v>
      </c>
      <c r="H37">
        <v>13.01</v>
      </c>
      <c r="I37">
        <v>45.23</v>
      </c>
      <c r="J37" t="s">
        <v>569</v>
      </c>
      <c r="K37">
        <v>67.91</v>
      </c>
      <c r="L37" t="s">
        <v>569</v>
      </c>
      <c r="M37">
        <v>0</v>
      </c>
      <c r="N37">
        <v>2</v>
      </c>
      <c r="O37">
        <v>0</v>
      </c>
    </row>
    <row r="38" spans="1:15" x14ac:dyDescent="0.2">
      <c r="A38" t="s">
        <v>152</v>
      </c>
      <c r="B38">
        <v>4</v>
      </c>
      <c r="C38">
        <v>335</v>
      </c>
      <c r="D38">
        <v>72.84</v>
      </c>
      <c r="E38">
        <v>55.38</v>
      </c>
      <c r="F38">
        <v>100</v>
      </c>
      <c r="G38">
        <v>137</v>
      </c>
      <c r="H38">
        <v>40.9</v>
      </c>
      <c r="I38">
        <v>12.46</v>
      </c>
      <c r="J38">
        <v>55.38</v>
      </c>
      <c r="K38">
        <v>63.8</v>
      </c>
      <c r="L38">
        <v>77.040000000000006</v>
      </c>
      <c r="M38">
        <v>1</v>
      </c>
      <c r="N38">
        <v>2</v>
      </c>
      <c r="O38">
        <v>2</v>
      </c>
    </row>
    <row r="39" spans="1:15" x14ac:dyDescent="0.2">
      <c r="A39" t="s">
        <v>156</v>
      </c>
      <c r="B39">
        <v>4</v>
      </c>
      <c r="C39">
        <v>346</v>
      </c>
      <c r="D39">
        <v>81.55</v>
      </c>
      <c r="E39">
        <v>70.42</v>
      </c>
      <c r="F39">
        <v>100</v>
      </c>
      <c r="G39">
        <v>150</v>
      </c>
      <c r="H39">
        <v>43.35</v>
      </c>
      <c r="I39">
        <v>15.39</v>
      </c>
      <c r="J39">
        <v>72.27</v>
      </c>
      <c r="K39">
        <v>70.42</v>
      </c>
      <c r="L39">
        <v>87.18</v>
      </c>
      <c r="M39">
        <v>2</v>
      </c>
      <c r="N39">
        <v>1</v>
      </c>
      <c r="O39">
        <v>2</v>
      </c>
    </row>
    <row r="40" spans="1:15" x14ac:dyDescent="0.2">
      <c r="A40" t="s">
        <v>160</v>
      </c>
      <c r="B40">
        <v>4</v>
      </c>
      <c r="C40">
        <v>262</v>
      </c>
      <c r="D40">
        <v>81.63</v>
      </c>
      <c r="E40">
        <v>65.28</v>
      </c>
      <c r="F40">
        <v>97.3</v>
      </c>
      <c r="G40">
        <v>61</v>
      </c>
      <c r="H40">
        <v>23.28</v>
      </c>
      <c r="I40">
        <v>26.05</v>
      </c>
      <c r="J40">
        <v>74.16</v>
      </c>
      <c r="K40">
        <v>65.28</v>
      </c>
      <c r="L40">
        <v>89.46</v>
      </c>
      <c r="M40">
        <v>2</v>
      </c>
      <c r="N40">
        <v>1</v>
      </c>
      <c r="O40">
        <v>2</v>
      </c>
    </row>
    <row r="41" spans="1:15" x14ac:dyDescent="0.2">
      <c r="A41" t="s">
        <v>164</v>
      </c>
      <c r="B41">
        <v>4</v>
      </c>
      <c r="C41">
        <v>532</v>
      </c>
      <c r="D41">
        <v>86.02</v>
      </c>
      <c r="E41">
        <v>76.84</v>
      </c>
      <c r="F41">
        <v>100</v>
      </c>
      <c r="G41">
        <v>267</v>
      </c>
      <c r="H41">
        <v>50.19</v>
      </c>
      <c r="I41">
        <v>23.87</v>
      </c>
      <c r="J41">
        <v>76.84</v>
      </c>
      <c r="K41">
        <v>79.94</v>
      </c>
      <c r="L41">
        <v>91.26</v>
      </c>
      <c r="M41">
        <v>2</v>
      </c>
      <c r="N41">
        <v>1</v>
      </c>
      <c r="O41">
        <v>2</v>
      </c>
    </row>
    <row r="42" spans="1:15" x14ac:dyDescent="0.2">
      <c r="A42" t="s">
        <v>168</v>
      </c>
      <c r="B42">
        <v>4</v>
      </c>
      <c r="C42">
        <v>375</v>
      </c>
      <c r="D42">
        <v>74.62</v>
      </c>
      <c r="E42">
        <v>60.14</v>
      </c>
      <c r="F42">
        <v>88.31</v>
      </c>
      <c r="G42">
        <v>156</v>
      </c>
      <c r="H42">
        <v>41.6</v>
      </c>
      <c r="I42">
        <v>12.53</v>
      </c>
      <c r="J42">
        <v>60.69</v>
      </c>
      <c r="K42">
        <v>62.41</v>
      </c>
      <c r="L42">
        <v>88.31</v>
      </c>
      <c r="M42">
        <v>1</v>
      </c>
      <c r="N42">
        <v>1</v>
      </c>
      <c r="O42">
        <v>1</v>
      </c>
    </row>
    <row r="43" spans="1:15" x14ac:dyDescent="0.2">
      <c r="A43" t="s">
        <v>180</v>
      </c>
      <c r="B43">
        <v>3</v>
      </c>
      <c r="C43">
        <v>397</v>
      </c>
      <c r="D43">
        <v>66.53</v>
      </c>
      <c r="E43">
        <v>54.76</v>
      </c>
      <c r="F43">
        <v>87.91</v>
      </c>
      <c r="G43">
        <v>156</v>
      </c>
      <c r="H43">
        <v>39.29</v>
      </c>
      <c r="I43">
        <v>14.19</v>
      </c>
      <c r="J43">
        <v>56.91</v>
      </c>
      <c r="K43">
        <v>54.76</v>
      </c>
      <c r="L43">
        <v>87.91</v>
      </c>
      <c r="M43">
        <v>1</v>
      </c>
      <c r="N43">
        <v>1</v>
      </c>
      <c r="O43">
        <v>1</v>
      </c>
    </row>
    <row r="44" spans="1:15" x14ac:dyDescent="0.2">
      <c r="A44" t="s">
        <v>184</v>
      </c>
      <c r="B44">
        <v>3</v>
      </c>
      <c r="C44">
        <v>339</v>
      </c>
      <c r="D44">
        <v>76.2</v>
      </c>
      <c r="E44">
        <v>68.77</v>
      </c>
      <c r="F44">
        <v>88.73</v>
      </c>
      <c r="G44">
        <v>183</v>
      </c>
      <c r="H44">
        <v>53.98</v>
      </c>
      <c r="I44">
        <v>10.52</v>
      </c>
      <c r="J44">
        <v>68.77</v>
      </c>
      <c r="K44">
        <v>71.08</v>
      </c>
      <c r="L44">
        <v>88.73</v>
      </c>
      <c r="M44">
        <v>1</v>
      </c>
      <c r="N44">
        <v>1</v>
      </c>
      <c r="O44">
        <v>1</v>
      </c>
    </row>
    <row r="45" spans="1:15" x14ac:dyDescent="0.2">
      <c r="A45" t="s">
        <v>188</v>
      </c>
      <c r="B45">
        <v>3</v>
      </c>
      <c r="C45">
        <v>244</v>
      </c>
      <c r="D45">
        <v>71.92</v>
      </c>
      <c r="E45">
        <v>62.33</v>
      </c>
      <c r="F45">
        <v>88.1</v>
      </c>
      <c r="G45">
        <v>123</v>
      </c>
      <c r="H45">
        <v>50.41</v>
      </c>
      <c r="I45">
        <v>8.4700000000000006</v>
      </c>
      <c r="J45">
        <v>65.349999999999994</v>
      </c>
      <c r="K45">
        <v>62.33</v>
      </c>
      <c r="L45">
        <v>88.1</v>
      </c>
      <c r="M45">
        <v>1</v>
      </c>
      <c r="N45">
        <v>1</v>
      </c>
      <c r="O45">
        <v>1</v>
      </c>
    </row>
    <row r="46" spans="1:15" x14ac:dyDescent="0.2">
      <c r="A46" t="s">
        <v>192</v>
      </c>
      <c r="B46">
        <v>3</v>
      </c>
      <c r="C46">
        <v>376</v>
      </c>
      <c r="D46">
        <v>69.17</v>
      </c>
      <c r="E46">
        <v>60.34</v>
      </c>
      <c r="F46">
        <v>84.38</v>
      </c>
      <c r="G46">
        <v>167</v>
      </c>
      <c r="H46">
        <v>44.41</v>
      </c>
      <c r="I46">
        <v>11.44</v>
      </c>
      <c r="J46">
        <v>60.34</v>
      </c>
      <c r="K46">
        <v>62.79</v>
      </c>
      <c r="L46">
        <v>84.38</v>
      </c>
      <c r="M46">
        <v>1</v>
      </c>
      <c r="N46">
        <v>1</v>
      </c>
      <c r="O46">
        <v>1</v>
      </c>
    </row>
    <row r="47" spans="1:15" x14ac:dyDescent="0.2">
      <c r="A47" t="s">
        <v>196</v>
      </c>
      <c r="B47">
        <v>3</v>
      </c>
      <c r="C47">
        <v>360</v>
      </c>
      <c r="D47">
        <v>55.49</v>
      </c>
      <c r="E47">
        <v>47</v>
      </c>
      <c r="F47">
        <v>70.790000000000006</v>
      </c>
      <c r="G47">
        <v>111</v>
      </c>
      <c r="H47">
        <v>30.83</v>
      </c>
      <c r="I47">
        <v>12.96</v>
      </c>
      <c r="J47">
        <v>48.69</v>
      </c>
      <c r="K47">
        <v>47</v>
      </c>
      <c r="L47">
        <v>70.790000000000006</v>
      </c>
      <c r="M47">
        <v>1</v>
      </c>
      <c r="N47">
        <v>1</v>
      </c>
      <c r="O47">
        <v>1</v>
      </c>
    </row>
    <row r="48" spans="1:15" x14ac:dyDescent="0.2">
      <c r="A48" t="s">
        <v>200</v>
      </c>
      <c r="B48">
        <v>3</v>
      </c>
      <c r="C48">
        <v>265</v>
      </c>
      <c r="D48">
        <v>74.09</v>
      </c>
      <c r="E48">
        <v>67.89</v>
      </c>
      <c r="F48">
        <v>86.04</v>
      </c>
      <c r="G48">
        <v>139</v>
      </c>
      <c r="H48">
        <v>52.45</v>
      </c>
      <c r="I48">
        <v>8.5500000000000007</v>
      </c>
      <c r="J48">
        <v>67.89</v>
      </c>
      <c r="K48">
        <v>68.349999999999994</v>
      </c>
      <c r="L48">
        <v>86.04</v>
      </c>
      <c r="M48">
        <v>1</v>
      </c>
      <c r="N48">
        <v>1</v>
      </c>
      <c r="O48">
        <v>1</v>
      </c>
    </row>
    <row r="49" spans="1:15" x14ac:dyDescent="0.2">
      <c r="A49" t="s">
        <v>204</v>
      </c>
      <c r="B49">
        <v>3</v>
      </c>
      <c r="C49">
        <v>425</v>
      </c>
      <c r="D49">
        <v>58.01</v>
      </c>
      <c r="E49">
        <v>48.66</v>
      </c>
      <c r="F49">
        <v>74.790000000000006</v>
      </c>
      <c r="G49">
        <v>147</v>
      </c>
      <c r="H49">
        <v>34.590000000000003</v>
      </c>
      <c r="I49">
        <v>11.61</v>
      </c>
      <c r="J49">
        <v>48.66</v>
      </c>
      <c r="K49">
        <v>50.6</v>
      </c>
      <c r="L49">
        <v>74.790000000000006</v>
      </c>
      <c r="M49">
        <v>1</v>
      </c>
      <c r="N49">
        <v>1</v>
      </c>
      <c r="O49">
        <v>1</v>
      </c>
    </row>
    <row r="50" spans="1:15" x14ac:dyDescent="0.2">
      <c r="A50" t="s">
        <v>208</v>
      </c>
      <c r="B50">
        <v>3</v>
      </c>
      <c r="C50">
        <v>446</v>
      </c>
      <c r="D50">
        <v>66.260000000000005</v>
      </c>
      <c r="E50">
        <v>58.43</v>
      </c>
      <c r="F50">
        <v>81.33</v>
      </c>
      <c r="G50">
        <v>172</v>
      </c>
      <c r="H50">
        <v>38.57</v>
      </c>
      <c r="I50">
        <v>17.559999999999999</v>
      </c>
      <c r="J50" t="s">
        <v>569</v>
      </c>
      <c r="K50">
        <v>58.43</v>
      </c>
      <c r="L50" t="s">
        <v>569</v>
      </c>
      <c r="M50">
        <v>0</v>
      </c>
      <c r="N50">
        <v>1</v>
      </c>
      <c r="O50">
        <v>0</v>
      </c>
    </row>
    <row r="51" spans="1:15" x14ac:dyDescent="0.2">
      <c r="A51" t="s">
        <v>212</v>
      </c>
      <c r="B51">
        <v>3</v>
      </c>
      <c r="C51">
        <v>414</v>
      </c>
      <c r="D51">
        <v>75.62</v>
      </c>
      <c r="E51">
        <v>67.260000000000005</v>
      </c>
      <c r="F51">
        <v>86.85</v>
      </c>
      <c r="G51">
        <v>220</v>
      </c>
      <c r="H51">
        <v>53.14</v>
      </c>
      <c r="I51">
        <v>9.9</v>
      </c>
      <c r="J51">
        <v>67.260000000000005</v>
      </c>
      <c r="K51">
        <v>72.75</v>
      </c>
      <c r="L51">
        <v>86.85</v>
      </c>
      <c r="M51">
        <v>1</v>
      </c>
      <c r="N51">
        <v>1</v>
      </c>
      <c r="O51">
        <v>1</v>
      </c>
    </row>
    <row r="52" spans="1:15" x14ac:dyDescent="0.2">
      <c r="A52" t="s">
        <v>216</v>
      </c>
      <c r="B52">
        <v>3</v>
      </c>
      <c r="C52">
        <v>339</v>
      </c>
      <c r="D52">
        <v>67.27</v>
      </c>
      <c r="E52">
        <v>58.92</v>
      </c>
      <c r="F52">
        <v>81.290000000000006</v>
      </c>
      <c r="G52">
        <v>135</v>
      </c>
      <c r="H52">
        <v>39.82</v>
      </c>
      <c r="I52">
        <v>13.77</v>
      </c>
      <c r="J52">
        <v>58.92</v>
      </c>
      <c r="K52">
        <v>61.6</v>
      </c>
      <c r="L52">
        <v>81.290000000000006</v>
      </c>
      <c r="M52">
        <v>1</v>
      </c>
      <c r="N52">
        <v>1</v>
      </c>
      <c r="O52">
        <v>1</v>
      </c>
    </row>
    <row r="53" spans="1:15" x14ac:dyDescent="0.2">
      <c r="A53" t="s">
        <v>220</v>
      </c>
      <c r="B53">
        <v>3</v>
      </c>
      <c r="C53">
        <v>497</v>
      </c>
      <c r="D53">
        <v>73.849999999999994</v>
      </c>
      <c r="E53">
        <v>67.17</v>
      </c>
      <c r="F53">
        <v>85.96</v>
      </c>
      <c r="G53">
        <v>251</v>
      </c>
      <c r="H53">
        <v>50.5</v>
      </c>
      <c r="I53">
        <v>11.94</v>
      </c>
      <c r="J53">
        <v>67.17</v>
      </c>
      <c r="K53">
        <v>68.430000000000007</v>
      </c>
      <c r="L53">
        <v>85.96</v>
      </c>
      <c r="M53">
        <v>1</v>
      </c>
      <c r="N53">
        <v>1</v>
      </c>
      <c r="O53">
        <v>1</v>
      </c>
    </row>
    <row r="54" spans="1:15" x14ac:dyDescent="0.2">
      <c r="A54" t="s">
        <v>224</v>
      </c>
      <c r="B54">
        <v>3</v>
      </c>
      <c r="C54">
        <v>448</v>
      </c>
      <c r="D54">
        <v>74.75</v>
      </c>
      <c r="E54">
        <v>66.58</v>
      </c>
      <c r="F54">
        <v>89.1</v>
      </c>
      <c r="G54">
        <v>239</v>
      </c>
      <c r="H54">
        <v>53.35</v>
      </c>
      <c r="I54">
        <v>8.18</v>
      </c>
      <c r="J54">
        <v>68.56</v>
      </c>
      <c r="K54">
        <v>66.58</v>
      </c>
      <c r="L54">
        <v>89.1</v>
      </c>
      <c r="M54">
        <v>1</v>
      </c>
      <c r="N54">
        <v>1</v>
      </c>
      <c r="O54">
        <v>1</v>
      </c>
    </row>
    <row r="55" spans="1:15" x14ac:dyDescent="0.2">
      <c r="A55" t="s">
        <v>228</v>
      </c>
      <c r="B55">
        <v>3</v>
      </c>
      <c r="C55">
        <v>304</v>
      </c>
      <c r="D55">
        <v>66.56</v>
      </c>
      <c r="E55">
        <v>55.83</v>
      </c>
      <c r="F55">
        <v>86.38</v>
      </c>
      <c r="G55">
        <v>111</v>
      </c>
      <c r="H55">
        <v>36.51</v>
      </c>
      <c r="I55">
        <v>18.53</v>
      </c>
      <c r="J55">
        <v>55.83</v>
      </c>
      <c r="K55">
        <v>57.47</v>
      </c>
      <c r="L55">
        <v>86.38</v>
      </c>
      <c r="M55">
        <v>1</v>
      </c>
      <c r="N55">
        <v>1</v>
      </c>
      <c r="O55">
        <v>1</v>
      </c>
    </row>
    <row r="56" spans="1:15" x14ac:dyDescent="0.2">
      <c r="A56" t="s">
        <v>235</v>
      </c>
      <c r="B56">
        <v>3</v>
      </c>
      <c r="C56">
        <v>482</v>
      </c>
      <c r="D56">
        <v>70.13</v>
      </c>
      <c r="E56">
        <v>62.26</v>
      </c>
      <c r="F56">
        <v>85.03</v>
      </c>
      <c r="G56">
        <v>203</v>
      </c>
      <c r="H56">
        <v>42.12</v>
      </c>
      <c r="I56">
        <v>15.21</v>
      </c>
      <c r="J56">
        <v>62.26</v>
      </c>
      <c r="K56">
        <v>63.11</v>
      </c>
      <c r="L56">
        <v>85.03</v>
      </c>
      <c r="M56">
        <v>1</v>
      </c>
      <c r="N56">
        <v>1</v>
      </c>
      <c r="O56">
        <v>1</v>
      </c>
    </row>
    <row r="57" spans="1:15" x14ac:dyDescent="0.2">
      <c r="A57" t="s">
        <v>239</v>
      </c>
      <c r="B57">
        <v>3</v>
      </c>
      <c r="C57">
        <v>424</v>
      </c>
      <c r="D57">
        <v>63.87</v>
      </c>
      <c r="E57">
        <v>57.73</v>
      </c>
      <c r="F57">
        <v>75</v>
      </c>
      <c r="G57">
        <v>149</v>
      </c>
      <c r="H57">
        <v>35.14</v>
      </c>
      <c r="I57">
        <v>18.47</v>
      </c>
      <c r="J57">
        <v>57.73</v>
      </c>
      <c r="K57">
        <v>58.88</v>
      </c>
      <c r="L57">
        <v>75</v>
      </c>
      <c r="M57">
        <v>1</v>
      </c>
      <c r="N57">
        <v>1</v>
      </c>
      <c r="O57">
        <v>1</v>
      </c>
    </row>
    <row r="58" spans="1:15" x14ac:dyDescent="0.2">
      <c r="A58" t="s">
        <v>243</v>
      </c>
      <c r="B58">
        <v>3</v>
      </c>
      <c r="C58">
        <v>233</v>
      </c>
      <c r="D58">
        <v>82.68</v>
      </c>
      <c r="E58">
        <v>79.52</v>
      </c>
      <c r="F58">
        <v>88.99</v>
      </c>
      <c r="G58">
        <v>161</v>
      </c>
      <c r="H58">
        <v>69.099999999999994</v>
      </c>
      <c r="I58">
        <v>5.44</v>
      </c>
      <c r="J58">
        <v>79.52</v>
      </c>
      <c r="K58">
        <v>79.52</v>
      </c>
      <c r="L58">
        <v>88.99</v>
      </c>
      <c r="M58">
        <v>1</v>
      </c>
      <c r="N58">
        <v>1</v>
      </c>
      <c r="O58">
        <v>1</v>
      </c>
    </row>
    <row r="59" spans="1:15" x14ac:dyDescent="0.2">
      <c r="A59" t="s">
        <v>247</v>
      </c>
      <c r="B59">
        <v>3</v>
      </c>
      <c r="C59">
        <v>452</v>
      </c>
      <c r="D59">
        <v>67.97</v>
      </c>
      <c r="E59">
        <v>62.97</v>
      </c>
      <c r="F59">
        <v>76.900000000000006</v>
      </c>
      <c r="G59">
        <v>195</v>
      </c>
      <c r="H59">
        <v>43.14</v>
      </c>
      <c r="I59">
        <v>14.09</v>
      </c>
      <c r="J59">
        <v>62.97</v>
      </c>
      <c r="K59">
        <v>64.02</v>
      </c>
      <c r="L59">
        <v>76.900000000000006</v>
      </c>
      <c r="M59">
        <v>1</v>
      </c>
      <c r="N59">
        <v>1</v>
      </c>
      <c r="O59">
        <v>1</v>
      </c>
    </row>
    <row r="60" spans="1:15" x14ac:dyDescent="0.2">
      <c r="A60" t="s">
        <v>251</v>
      </c>
      <c r="B60">
        <v>3</v>
      </c>
      <c r="C60">
        <v>386</v>
      </c>
      <c r="D60">
        <v>64.63</v>
      </c>
      <c r="E60">
        <v>56.87</v>
      </c>
      <c r="F60">
        <v>79.38</v>
      </c>
      <c r="G60">
        <v>158</v>
      </c>
      <c r="H60">
        <v>40.93</v>
      </c>
      <c r="I60">
        <v>11.4</v>
      </c>
      <c r="J60">
        <v>57.65</v>
      </c>
      <c r="K60">
        <v>56.87</v>
      </c>
      <c r="L60">
        <v>79.38</v>
      </c>
      <c r="M60">
        <v>1</v>
      </c>
      <c r="N60">
        <v>1</v>
      </c>
      <c r="O60">
        <v>1</v>
      </c>
    </row>
    <row r="61" spans="1:15" x14ac:dyDescent="0.2">
      <c r="A61" t="s">
        <v>255</v>
      </c>
      <c r="B61">
        <v>3</v>
      </c>
      <c r="C61">
        <v>619</v>
      </c>
      <c r="D61">
        <v>85.21</v>
      </c>
      <c r="E61">
        <v>79.540000000000006</v>
      </c>
      <c r="F61">
        <v>94.44</v>
      </c>
      <c r="G61">
        <v>478</v>
      </c>
      <c r="H61">
        <v>77.22</v>
      </c>
      <c r="I61">
        <v>0.86</v>
      </c>
      <c r="J61">
        <v>79.540000000000006</v>
      </c>
      <c r="K61">
        <v>81.64</v>
      </c>
      <c r="L61">
        <v>94.44</v>
      </c>
      <c r="M61">
        <v>1</v>
      </c>
      <c r="N61">
        <v>1</v>
      </c>
      <c r="O61">
        <v>1</v>
      </c>
    </row>
    <row r="62" spans="1:15" x14ac:dyDescent="0.2">
      <c r="A62" t="s">
        <v>262</v>
      </c>
      <c r="B62">
        <v>3</v>
      </c>
      <c r="C62">
        <v>590</v>
      </c>
      <c r="D62">
        <v>74.44</v>
      </c>
      <c r="E62">
        <v>64.84</v>
      </c>
      <c r="F62">
        <v>93.59</v>
      </c>
      <c r="G62">
        <v>345</v>
      </c>
      <c r="H62">
        <v>58.47</v>
      </c>
      <c r="I62">
        <v>3.84</v>
      </c>
      <c r="J62">
        <v>64.900000000000006</v>
      </c>
      <c r="K62">
        <v>64.84</v>
      </c>
      <c r="L62">
        <v>93.59</v>
      </c>
      <c r="M62">
        <v>1</v>
      </c>
      <c r="N62">
        <v>1</v>
      </c>
      <c r="O6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0ACCA-B42D-B049-9440-8146255C33E7}">
  <dimension ref="A1:K111"/>
  <sheetViews>
    <sheetView workbookViewId="0"/>
  </sheetViews>
  <sheetFormatPr baseColWidth="10" defaultRowHeight="16" x14ac:dyDescent="0.2"/>
  <cols>
    <col min="1" max="1" width="7.5" bestFit="1" customWidth="1"/>
    <col min="3" max="3" width="18.6640625" bestFit="1" customWidth="1"/>
    <col min="4" max="4" width="11.33203125" bestFit="1" customWidth="1"/>
    <col min="5" max="5" width="9.1640625" bestFit="1" customWidth="1"/>
    <col min="6" max="6" width="8.33203125" bestFit="1" customWidth="1"/>
    <col min="7" max="7" width="10.33203125" bestFit="1" customWidth="1"/>
    <col min="8" max="8" width="8.1640625" bestFit="1" customWidth="1"/>
    <col min="9" max="9" width="12" bestFit="1" customWidth="1"/>
    <col min="10" max="10" width="8.83203125" bestFit="1" customWidth="1"/>
    <col min="11" max="11" width="10.1640625" bestFit="1" customWidth="1"/>
  </cols>
  <sheetData>
    <row r="1" spans="1:11" x14ac:dyDescent="0.2">
      <c r="A1" t="s">
        <v>785</v>
      </c>
    </row>
    <row r="3" spans="1:11" ht="84" x14ac:dyDescent="0.2">
      <c r="A3" s="7" t="s">
        <v>570</v>
      </c>
      <c r="B3" s="8" t="s">
        <v>0</v>
      </c>
      <c r="C3" s="8" t="s">
        <v>576</v>
      </c>
      <c r="D3" s="8" t="s">
        <v>572</v>
      </c>
      <c r="E3" s="8" t="s">
        <v>571</v>
      </c>
      <c r="F3" s="8" t="s">
        <v>577</v>
      </c>
      <c r="G3" s="8" t="s">
        <v>578</v>
      </c>
      <c r="H3" s="8" t="s">
        <v>579</v>
      </c>
      <c r="I3" s="8" t="s">
        <v>580</v>
      </c>
      <c r="J3" s="8" t="s">
        <v>581</v>
      </c>
      <c r="K3" s="8" t="s">
        <v>582</v>
      </c>
    </row>
    <row r="4" spans="1:11" x14ac:dyDescent="0.2">
      <c r="A4" s="3">
        <v>1</v>
      </c>
      <c r="B4" s="3" t="s">
        <v>4</v>
      </c>
      <c r="C4" s="3" t="s">
        <v>573</v>
      </c>
      <c r="D4" s="3" t="s">
        <v>574</v>
      </c>
      <c r="E4" s="3">
        <v>1</v>
      </c>
      <c r="F4" s="3" t="s">
        <v>583</v>
      </c>
      <c r="G4" s="3">
        <v>11</v>
      </c>
      <c r="H4" s="3">
        <v>10</v>
      </c>
      <c r="I4" s="3" t="s">
        <v>584</v>
      </c>
      <c r="J4" s="3">
        <v>0</v>
      </c>
      <c r="K4" s="3">
        <v>0</v>
      </c>
    </row>
    <row r="5" spans="1:11" x14ac:dyDescent="0.2">
      <c r="A5" s="3">
        <v>2</v>
      </c>
      <c r="B5" s="3" t="s">
        <v>4</v>
      </c>
      <c r="C5" s="3" t="s">
        <v>573</v>
      </c>
      <c r="D5" s="3" t="s">
        <v>574</v>
      </c>
      <c r="E5" s="3">
        <v>1</v>
      </c>
      <c r="F5" s="3" t="s">
        <v>583</v>
      </c>
      <c r="G5" s="3">
        <v>8</v>
      </c>
      <c r="H5" s="3">
        <v>7</v>
      </c>
      <c r="I5" s="3" t="s">
        <v>584</v>
      </c>
      <c r="J5" s="3">
        <v>0</v>
      </c>
      <c r="K5" s="3">
        <v>0</v>
      </c>
    </row>
    <row r="6" spans="1:11" x14ac:dyDescent="0.2">
      <c r="A6" s="3">
        <v>3</v>
      </c>
      <c r="B6" s="3" t="s">
        <v>4</v>
      </c>
      <c r="C6" s="3" t="s">
        <v>2</v>
      </c>
      <c r="D6" s="3" t="s">
        <v>575</v>
      </c>
      <c r="E6" s="3">
        <v>1</v>
      </c>
      <c r="F6" s="3" t="s">
        <v>585</v>
      </c>
      <c r="G6" s="3">
        <v>2</v>
      </c>
      <c r="H6" s="3">
        <v>1</v>
      </c>
      <c r="I6" s="3" t="s">
        <v>586</v>
      </c>
      <c r="J6" s="3">
        <v>1</v>
      </c>
      <c r="K6" s="3">
        <v>0</v>
      </c>
    </row>
    <row r="7" spans="1:11" x14ac:dyDescent="0.2">
      <c r="A7" s="3">
        <v>4</v>
      </c>
      <c r="B7" s="3" t="s">
        <v>4</v>
      </c>
      <c r="C7" s="3" t="s">
        <v>1</v>
      </c>
      <c r="D7" s="3" t="s">
        <v>575</v>
      </c>
      <c r="E7" s="3">
        <v>1</v>
      </c>
      <c r="F7" s="3" t="s">
        <v>587</v>
      </c>
      <c r="G7" s="3">
        <v>2</v>
      </c>
      <c r="H7" s="3">
        <v>2</v>
      </c>
      <c r="I7" s="3" t="s">
        <v>588</v>
      </c>
      <c r="J7" s="3">
        <v>1</v>
      </c>
      <c r="K7" s="3">
        <v>1</v>
      </c>
    </row>
    <row r="8" spans="1:11" x14ac:dyDescent="0.2">
      <c r="A8" s="3">
        <v>5</v>
      </c>
      <c r="B8" s="3" t="s">
        <v>8</v>
      </c>
      <c r="C8" s="3" t="s">
        <v>1</v>
      </c>
      <c r="D8" s="3" t="s">
        <v>575</v>
      </c>
      <c r="E8" s="3">
        <v>1</v>
      </c>
      <c r="F8" s="3" t="s">
        <v>587</v>
      </c>
      <c r="G8" s="3">
        <v>2</v>
      </c>
      <c r="H8" s="3">
        <v>2</v>
      </c>
      <c r="I8" s="3" t="s">
        <v>588</v>
      </c>
      <c r="J8" s="3">
        <v>1</v>
      </c>
      <c r="K8" s="3">
        <v>1</v>
      </c>
    </row>
    <row r="9" spans="1:11" x14ac:dyDescent="0.2">
      <c r="A9" s="3">
        <v>6</v>
      </c>
      <c r="B9" s="3" t="s">
        <v>8</v>
      </c>
      <c r="C9" s="3" t="s">
        <v>2</v>
      </c>
      <c r="D9" s="3" t="s">
        <v>575</v>
      </c>
      <c r="E9" s="3">
        <v>1</v>
      </c>
      <c r="F9" s="3" t="s">
        <v>585</v>
      </c>
      <c r="G9" s="3">
        <v>7</v>
      </c>
      <c r="H9" s="3">
        <v>2</v>
      </c>
      <c r="I9" s="3" t="s">
        <v>588</v>
      </c>
      <c r="J9" s="3">
        <v>1</v>
      </c>
      <c r="K9" s="3">
        <v>1</v>
      </c>
    </row>
    <row r="10" spans="1:11" x14ac:dyDescent="0.2">
      <c r="A10" s="3">
        <v>7</v>
      </c>
      <c r="B10" s="3" t="s">
        <v>8</v>
      </c>
      <c r="C10" s="3" t="s">
        <v>2</v>
      </c>
      <c r="D10" s="3" t="s">
        <v>575</v>
      </c>
      <c r="E10" s="3">
        <v>1</v>
      </c>
      <c r="F10" s="3" t="s">
        <v>585</v>
      </c>
      <c r="G10" s="3">
        <v>2</v>
      </c>
      <c r="H10" s="3">
        <v>1</v>
      </c>
      <c r="I10" s="3" t="s">
        <v>586</v>
      </c>
      <c r="J10" s="3">
        <v>0</v>
      </c>
      <c r="K10" s="3">
        <v>0</v>
      </c>
    </row>
    <row r="11" spans="1:11" x14ac:dyDescent="0.2">
      <c r="A11" s="3">
        <v>8</v>
      </c>
      <c r="B11" s="3" t="s">
        <v>8</v>
      </c>
      <c r="C11" s="3" t="s">
        <v>2</v>
      </c>
      <c r="D11" s="3" t="s">
        <v>575</v>
      </c>
      <c r="E11" s="3">
        <v>1</v>
      </c>
      <c r="F11" s="3" t="s">
        <v>585</v>
      </c>
      <c r="G11" s="3">
        <v>5</v>
      </c>
      <c r="H11" s="3">
        <v>1</v>
      </c>
      <c r="I11" s="3" t="s">
        <v>586</v>
      </c>
      <c r="J11" s="3">
        <v>0</v>
      </c>
      <c r="K11" s="3">
        <v>0</v>
      </c>
    </row>
    <row r="12" spans="1:11" x14ac:dyDescent="0.2">
      <c r="A12" s="3">
        <v>9</v>
      </c>
      <c r="B12" s="3" t="s">
        <v>8</v>
      </c>
      <c r="C12" s="3" t="s">
        <v>2</v>
      </c>
      <c r="D12" s="3" t="s">
        <v>575</v>
      </c>
      <c r="E12" s="3">
        <v>1</v>
      </c>
      <c r="F12" s="3" t="s">
        <v>585</v>
      </c>
      <c r="G12" s="3">
        <v>4</v>
      </c>
      <c r="H12" s="3">
        <v>1</v>
      </c>
      <c r="I12" s="3" t="s">
        <v>586</v>
      </c>
      <c r="J12" s="3">
        <v>0</v>
      </c>
      <c r="K12" s="3">
        <v>0</v>
      </c>
    </row>
    <row r="13" spans="1:11" x14ac:dyDescent="0.2">
      <c r="A13" s="3">
        <v>10</v>
      </c>
      <c r="B13" s="3" t="s">
        <v>8</v>
      </c>
      <c r="C13" s="3" t="s">
        <v>2</v>
      </c>
      <c r="D13" s="3" t="s">
        <v>575</v>
      </c>
      <c r="E13" s="3">
        <v>1</v>
      </c>
      <c r="F13" s="3" t="s">
        <v>585</v>
      </c>
      <c r="G13" s="3">
        <v>3</v>
      </c>
      <c r="H13" s="3">
        <v>1</v>
      </c>
      <c r="I13" s="3" t="s">
        <v>586</v>
      </c>
      <c r="J13" s="3">
        <v>0</v>
      </c>
      <c r="K13" s="3">
        <v>0</v>
      </c>
    </row>
    <row r="14" spans="1:11" x14ac:dyDescent="0.2">
      <c r="A14" s="3">
        <v>11</v>
      </c>
      <c r="B14" s="3" t="s">
        <v>8</v>
      </c>
      <c r="C14" s="3" t="s">
        <v>2</v>
      </c>
      <c r="D14" s="3" t="s">
        <v>575</v>
      </c>
      <c r="E14" s="3">
        <v>1</v>
      </c>
      <c r="F14" s="3" t="s">
        <v>585</v>
      </c>
      <c r="G14" s="3">
        <v>2</v>
      </c>
      <c r="H14" s="3">
        <v>1</v>
      </c>
      <c r="I14" s="3" t="s">
        <v>586</v>
      </c>
      <c r="J14" s="3">
        <v>0</v>
      </c>
      <c r="K14" s="3">
        <v>0</v>
      </c>
    </row>
    <row r="15" spans="1:11" x14ac:dyDescent="0.2">
      <c r="A15" s="3">
        <v>12</v>
      </c>
      <c r="B15" s="3" t="s">
        <v>12</v>
      </c>
      <c r="C15" s="3" t="s">
        <v>573</v>
      </c>
      <c r="D15" s="3" t="s">
        <v>574</v>
      </c>
      <c r="E15" s="3">
        <v>1</v>
      </c>
      <c r="F15" s="3" t="s">
        <v>583</v>
      </c>
      <c r="G15" s="3">
        <v>8</v>
      </c>
      <c r="H15" s="3">
        <v>8</v>
      </c>
      <c r="I15" s="3" t="s">
        <v>584</v>
      </c>
      <c r="J15" s="3">
        <v>0</v>
      </c>
      <c r="K15" s="3">
        <v>0</v>
      </c>
    </row>
    <row r="16" spans="1:11" x14ac:dyDescent="0.2">
      <c r="A16" s="3">
        <v>13</v>
      </c>
      <c r="B16" s="3" t="s">
        <v>12</v>
      </c>
      <c r="C16" s="3" t="s">
        <v>1</v>
      </c>
      <c r="D16" s="3" t="s">
        <v>575</v>
      </c>
      <c r="E16" s="3">
        <v>1</v>
      </c>
      <c r="F16" s="3" t="s">
        <v>587</v>
      </c>
      <c r="G16" s="3">
        <v>2</v>
      </c>
      <c r="H16" s="3">
        <v>2</v>
      </c>
      <c r="I16" s="3" t="s">
        <v>588</v>
      </c>
      <c r="J16" s="3">
        <v>1</v>
      </c>
      <c r="K16" s="3">
        <v>1</v>
      </c>
    </row>
    <row r="17" spans="1:11" x14ac:dyDescent="0.2">
      <c r="A17" s="3">
        <v>14</v>
      </c>
      <c r="B17" s="3" t="s">
        <v>12</v>
      </c>
      <c r="C17" s="3" t="s">
        <v>3</v>
      </c>
      <c r="D17" s="3" t="s">
        <v>575</v>
      </c>
      <c r="E17" s="3">
        <v>1</v>
      </c>
      <c r="F17" s="3" t="s">
        <v>589</v>
      </c>
      <c r="G17" s="3">
        <v>2</v>
      </c>
      <c r="H17" s="3">
        <v>2</v>
      </c>
      <c r="I17" s="3" t="s">
        <v>588</v>
      </c>
      <c r="J17" s="3">
        <v>1</v>
      </c>
      <c r="K17" s="3">
        <v>1</v>
      </c>
    </row>
    <row r="18" spans="1:11" x14ac:dyDescent="0.2">
      <c r="A18" s="3">
        <v>15</v>
      </c>
      <c r="B18" s="3" t="s">
        <v>16</v>
      </c>
      <c r="C18" s="3" t="s">
        <v>573</v>
      </c>
      <c r="D18" s="3" t="s">
        <v>574</v>
      </c>
      <c r="E18" s="3">
        <v>1</v>
      </c>
      <c r="F18" s="3" t="s">
        <v>583</v>
      </c>
      <c r="G18" s="3">
        <v>8</v>
      </c>
      <c r="H18" s="3">
        <v>7</v>
      </c>
      <c r="I18" s="3" t="s">
        <v>584</v>
      </c>
      <c r="J18" s="3">
        <v>0</v>
      </c>
      <c r="K18" s="3">
        <v>0</v>
      </c>
    </row>
    <row r="19" spans="1:11" x14ac:dyDescent="0.2">
      <c r="A19" s="3">
        <v>16</v>
      </c>
      <c r="B19" s="3" t="s">
        <v>16</v>
      </c>
      <c r="C19" s="3" t="s">
        <v>3</v>
      </c>
      <c r="D19" s="3" t="s">
        <v>575</v>
      </c>
      <c r="E19" s="3">
        <v>1</v>
      </c>
      <c r="F19" s="3" t="s">
        <v>589</v>
      </c>
      <c r="G19" s="3">
        <v>2</v>
      </c>
      <c r="H19" s="3">
        <v>2</v>
      </c>
      <c r="I19" s="3" t="s">
        <v>588</v>
      </c>
      <c r="J19" s="3">
        <v>1</v>
      </c>
      <c r="K19" s="3">
        <v>1</v>
      </c>
    </row>
    <row r="20" spans="1:11" x14ac:dyDescent="0.2">
      <c r="A20" s="3">
        <v>17</v>
      </c>
      <c r="B20" s="3" t="s">
        <v>16</v>
      </c>
      <c r="C20" s="3" t="s">
        <v>3</v>
      </c>
      <c r="D20" s="3" t="s">
        <v>575</v>
      </c>
      <c r="E20" s="3">
        <v>1</v>
      </c>
      <c r="F20" s="3" t="s">
        <v>589</v>
      </c>
      <c r="G20" s="3">
        <v>2</v>
      </c>
      <c r="H20" s="3">
        <v>1</v>
      </c>
      <c r="I20" s="3" t="s">
        <v>586</v>
      </c>
      <c r="J20" s="3">
        <v>0</v>
      </c>
      <c r="K20" s="3">
        <v>0</v>
      </c>
    </row>
    <row r="21" spans="1:11" x14ac:dyDescent="0.2">
      <c r="A21" s="3">
        <v>18</v>
      </c>
      <c r="B21" s="3" t="s">
        <v>20</v>
      </c>
      <c r="C21" s="3" t="s">
        <v>573</v>
      </c>
      <c r="D21" s="3" t="s">
        <v>574</v>
      </c>
      <c r="E21" s="3">
        <v>1</v>
      </c>
      <c r="F21" s="3" t="s">
        <v>583</v>
      </c>
      <c r="G21" s="3">
        <v>8</v>
      </c>
      <c r="H21" s="3">
        <v>8</v>
      </c>
      <c r="I21" s="3" t="s">
        <v>584</v>
      </c>
      <c r="J21" s="3">
        <v>0</v>
      </c>
      <c r="K21" s="3">
        <v>0</v>
      </c>
    </row>
    <row r="22" spans="1:11" x14ac:dyDescent="0.2">
      <c r="A22" s="3">
        <v>19</v>
      </c>
      <c r="B22" s="3" t="s">
        <v>20</v>
      </c>
      <c r="C22" s="3" t="s">
        <v>1</v>
      </c>
      <c r="D22" s="3" t="s">
        <v>575</v>
      </c>
      <c r="E22" s="3">
        <v>1</v>
      </c>
      <c r="F22" s="3" t="s">
        <v>587</v>
      </c>
      <c r="G22" s="3">
        <v>2</v>
      </c>
      <c r="H22" s="3">
        <v>2</v>
      </c>
      <c r="I22" s="3" t="s">
        <v>588</v>
      </c>
      <c r="J22" s="3">
        <v>1</v>
      </c>
      <c r="K22" s="3">
        <v>1</v>
      </c>
    </row>
    <row r="23" spans="1:11" x14ac:dyDescent="0.2">
      <c r="A23" s="3">
        <v>20</v>
      </c>
      <c r="B23" s="3" t="s">
        <v>20</v>
      </c>
      <c r="C23" s="3" t="s">
        <v>2</v>
      </c>
      <c r="D23" s="3" t="s">
        <v>575</v>
      </c>
      <c r="E23" s="3">
        <v>1</v>
      </c>
      <c r="F23" s="3" t="s">
        <v>585</v>
      </c>
      <c r="G23" s="3">
        <v>2</v>
      </c>
      <c r="H23" s="3">
        <v>2</v>
      </c>
      <c r="I23" s="3" t="s">
        <v>588</v>
      </c>
      <c r="J23" s="3">
        <v>1</v>
      </c>
      <c r="K23" s="3">
        <v>1</v>
      </c>
    </row>
    <row r="24" spans="1:11" x14ac:dyDescent="0.2">
      <c r="A24" s="3">
        <v>21</v>
      </c>
      <c r="B24" s="3" t="s">
        <v>24</v>
      </c>
      <c r="C24" s="3" t="s">
        <v>2</v>
      </c>
      <c r="D24" s="3" t="s">
        <v>575</v>
      </c>
      <c r="E24" s="3">
        <v>1</v>
      </c>
      <c r="F24" s="3" t="s">
        <v>585</v>
      </c>
      <c r="G24" s="3">
        <v>7</v>
      </c>
      <c r="H24" s="3">
        <v>1</v>
      </c>
      <c r="I24" s="3" t="s">
        <v>586</v>
      </c>
      <c r="J24" s="3">
        <v>1</v>
      </c>
      <c r="K24" s="3">
        <v>0</v>
      </c>
    </row>
    <row r="25" spans="1:11" x14ac:dyDescent="0.2">
      <c r="A25" s="3">
        <v>22</v>
      </c>
      <c r="B25" s="3" t="s">
        <v>24</v>
      </c>
      <c r="C25" s="3" t="s">
        <v>2</v>
      </c>
      <c r="D25" s="3" t="s">
        <v>575</v>
      </c>
      <c r="E25" s="3">
        <v>1</v>
      </c>
      <c r="F25" s="3" t="s">
        <v>585</v>
      </c>
      <c r="G25" s="3">
        <v>6</v>
      </c>
      <c r="H25" s="3">
        <v>1</v>
      </c>
      <c r="I25" s="3" t="s">
        <v>586</v>
      </c>
      <c r="J25" s="3">
        <v>0</v>
      </c>
      <c r="K25" s="3">
        <v>0</v>
      </c>
    </row>
    <row r="26" spans="1:11" x14ac:dyDescent="0.2">
      <c r="A26" s="3">
        <v>23</v>
      </c>
      <c r="B26" s="3" t="s">
        <v>24</v>
      </c>
      <c r="C26" s="3" t="s">
        <v>2</v>
      </c>
      <c r="D26" s="3" t="s">
        <v>575</v>
      </c>
      <c r="E26" s="3">
        <v>1</v>
      </c>
      <c r="F26" s="3" t="s">
        <v>585</v>
      </c>
      <c r="G26" s="3">
        <v>5</v>
      </c>
      <c r="H26" s="3">
        <v>1</v>
      </c>
      <c r="I26" s="3" t="s">
        <v>586</v>
      </c>
      <c r="J26" s="3">
        <v>0</v>
      </c>
      <c r="K26" s="3">
        <v>0</v>
      </c>
    </row>
    <row r="27" spans="1:11" x14ac:dyDescent="0.2">
      <c r="A27" s="3">
        <v>24</v>
      </c>
      <c r="B27" s="3" t="s">
        <v>24</v>
      </c>
      <c r="C27" s="3" t="s">
        <v>2</v>
      </c>
      <c r="D27" s="3" t="s">
        <v>575</v>
      </c>
      <c r="E27" s="3">
        <v>1</v>
      </c>
      <c r="F27" s="3" t="s">
        <v>585</v>
      </c>
      <c r="G27" s="3">
        <v>2</v>
      </c>
      <c r="H27" s="3">
        <v>1</v>
      </c>
      <c r="I27" s="3" t="s">
        <v>586</v>
      </c>
      <c r="J27" s="3">
        <v>0</v>
      </c>
      <c r="K27" s="3">
        <v>0</v>
      </c>
    </row>
    <row r="28" spans="1:11" x14ac:dyDescent="0.2">
      <c r="A28" s="3">
        <v>25</v>
      </c>
      <c r="B28" s="3" t="s">
        <v>24</v>
      </c>
      <c r="C28" s="3" t="s">
        <v>2</v>
      </c>
      <c r="D28" s="3" t="s">
        <v>575</v>
      </c>
      <c r="E28" s="3">
        <v>1</v>
      </c>
      <c r="F28" s="3" t="s">
        <v>585</v>
      </c>
      <c r="G28" s="3">
        <v>3</v>
      </c>
      <c r="H28" s="3">
        <v>1</v>
      </c>
      <c r="I28" s="3" t="s">
        <v>586</v>
      </c>
      <c r="J28" s="3">
        <v>0</v>
      </c>
      <c r="K28" s="3">
        <v>0</v>
      </c>
    </row>
    <row r="29" spans="1:11" x14ac:dyDescent="0.2">
      <c r="A29" s="3">
        <v>26</v>
      </c>
      <c r="B29" s="3" t="s">
        <v>24</v>
      </c>
      <c r="C29" s="3" t="s">
        <v>2</v>
      </c>
      <c r="D29" s="3" t="s">
        <v>575</v>
      </c>
      <c r="E29" s="3">
        <v>1</v>
      </c>
      <c r="F29" s="3" t="s">
        <v>585</v>
      </c>
      <c r="G29" s="3">
        <v>2</v>
      </c>
      <c r="H29" s="3">
        <v>1</v>
      </c>
      <c r="I29" s="3" t="s">
        <v>586</v>
      </c>
      <c r="J29" s="3">
        <v>0</v>
      </c>
      <c r="K29" s="3">
        <v>0</v>
      </c>
    </row>
    <row r="30" spans="1:11" x14ac:dyDescent="0.2">
      <c r="A30" s="3">
        <v>27</v>
      </c>
      <c r="B30" s="3" t="s">
        <v>27</v>
      </c>
      <c r="C30" s="3" t="s">
        <v>573</v>
      </c>
      <c r="D30" s="3" t="s">
        <v>574</v>
      </c>
      <c r="E30" s="3">
        <v>1</v>
      </c>
      <c r="F30" s="3" t="s">
        <v>583</v>
      </c>
      <c r="G30" s="3">
        <v>7</v>
      </c>
      <c r="H30" s="3">
        <v>7</v>
      </c>
      <c r="I30" s="3" t="s">
        <v>584</v>
      </c>
      <c r="J30" s="3">
        <v>0</v>
      </c>
      <c r="K30" s="3">
        <v>0</v>
      </c>
    </row>
    <row r="31" spans="1:11" x14ac:dyDescent="0.2">
      <c r="A31" s="3">
        <v>28</v>
      </c>
      <c r="B31" s="3" t="s">
        <v>27</v>
      </c>
      <c r="C31" s="3" t="s">
        <v>2</v>
      </c>
      <c r="D31" s="3" t="s">
        <v>575</v>
      </c>
      <c r="E31" s="3">
        <v>1</v>
      </c>
      <c r="F31" s="3" t="s">
        <v>585</v>
      </c>
      <c r="G31" s="3">
        <v>2</v>
      </c>
      <c r="H31" s="3">
        <v>2</v>
      </c>
      <c r="I31" s="3" t="s">
        <v>588</v>
      </c>
      <c r="J31" s="3">
        <v>1</v>
      </c>
      <c r="K31" s="3">
        <v>1</v>
      </c>
    </row>
    <row r="32" spans="1:11" x14ac:dyDescent="0.2">
      <c r="A32" s="3">
        <v>29</v>
      </c>
      <c r="B32" s="3" t="s">
        <v>31</v>
      </c>
      <c r="C32" s="3" t="s">
        <v>3</v>
      </c>
      <c r="D32" s="3" t="s">
        <v>575</v>
      </c>
      <c r="E32" s="3">
        <v>1</v>
      </c>
      <c r="F32" s="3" t="s">
        <v>589</v>
      </c>
      <c r="G32" s="3">
        <v>5</v>
      </c>
      <c r="H32" s="3">
        <v>2</v>
      </c>
      <c r="I32" s="3" t="s">
        <v>588</v>
      </c>
      <c r="J32" s="3">
        <v>1</v>
      </c>
      <c r="K32" s="3">
        <v>1</v>
      </c>
    </row>
    <row r="33" spans="1:11" x14ac:dyDescent="0.2">
      <c r="A33" s="3">
        <v>30</v>
      </c>
      <c r="B33" s="3" t="s">
        <v>31</v>
      </c>
      <c r="C33" s="3" t="s">
        <v>3</v>
      </c>
      <c r="D33" s="3" t="s">
        <v>575</v>
      </c>
      <c r="E33" s="3">
        <v>1</v>
      </c>
      <c r="F33" s="3" t="s">
        <v>589</v>
      </c>
      <c r="G33" s="3">
        <v>4</v>
      </c>
      <c r="H33" s="3">
        <v>1</v>
      </c>
      <c r="I33" s="3" t="s">
        <v>586</v>
      </c>
      <c r="J33" s="3">
        <v>0</v>
      </c>
      <c r="K33" s="3">
        <v>0</v>
      </c>
    </row>
    <row r="34" spans="1:11" x14ac:dyDescent="0.2">
      <c r="A34" s="3">
        <v>31</v>
      </c>
      <c r="B34" s="3" t="s">
        <v>31</v>
      </c>
      <c r="C34" s="3" t="s">
        <v>3</v>
      </c>
      <c r="D34" s="3" t="s">
        <v>575</v>
      </c>
      <c r="E34" s="3">
        <v>1</v>
      </c>
      <c r="F34" s="3" t="s">
        <v>589</v>
      </c>
      <c r="G34" s="3">
        <v>3</v>
      </c>
      <c r="H34" s="3">
        <v>1</v>
      </c>
      <c r="I34" s="3" t="s">
        <v>586</v>
      </c>
      <c r="J34" s="3">
        <v>0</v>
      </c>
      <c r="K34" s="3">
        <v>0</v>
      </c>
    </row>
    <row r="35" spans="1:11" x14ac:dyDescent="0.2">
      <c r="A35" s="3">
        <v>32</v>
      </c>
      <c r="B35" s="3" t="s">
        <v>31</v>
      </c>
      <c r="C35" s="3" t="s">
        <v>3</v>
      </c>
      <c r="D35" s="3" t="s">
        <v>575</v>
      </c>
      <c r="E35" s="3">
        <v>1</v>
      </c>
      <c r="F35" s="3" t="s">
        <v>589</v>
      </c>
      <c r="G35" s="3">
        <v>2</v>
      </c>
      <c r="H35" s="3">
        <v>1</v>
      </c>
      <c r="I35" s="3" t="s">
        <v>586</v>
      </c>
      <c r="J35" s="3">
        <v>0</v>
      </c>
      <c r="K35" s="3">
        <v>0</v>
      </c>
    </row>
    <row r="36" spans="1:11" x14ac:dyDescent="0.2">
      <c r="A36" s="3">
        <v>33</v>
      </c>
      <c r="B36" s="3" t="s">
        <v>35</v>
      </c>
      <c r="C36" s="3" t="s">
        <v>2</v>
      </c>
      <c r="D36" s="3" t="s">
        <v>575</v>
      </c>
      <c r="E36" s="3">
        <v>1</v>
      </c>
      <c r="F36" s="3" t="s">
        <v>585</v>
      </c>
      <c r="G36" s="3">
        <v>2</v>
      </c>
      <c r="H36" s="3">
        <v>1</v>
      </c>
      <c r="I36" s="3" t="s">
        <v>586</v>
      </c>
      <c r="J36" s="3">
        <v>1</v>
      </c>
      <c r="K36" s="3">
        <v>0</v>
      </c>
    </row>
    <row r="37" spans="1:11" x14ac:dyDescent="0.2">
      <c r="A37" s="3">
        <v>34</v>
      </c>
      <c r="B37" s="3" t="s">
        <v>35</v>
      </c>
      <c r="C37" s="3" t="s">
        <v>3</v>
      </c>
      <c r="D37" s="3" t="s">
        <v>575</v>
      </c>
      <c r="E37" s="3">
        <v>1</v>
      </c>
      <c r="F37" s="3" t="s">
        <v>589</v>
      </c>
      <c r="G37" s="3">
        <v>4</v>
      </c>
      <c r="H37" s="3">
        <v>2</v>
      </c>
      <c r="I37" s="3" t="s">
        <v>588</v>
      </c>
      <c r="J37" s="3">
        <v>1</v>
      </c>
      <c r="K37" s="3">
        <v>1</v>
      </c>
    </row>
    <row r="38" spans="1:11" x14ac:dyDescent="0.2">
      <c r="A38" s="3">
        <v>35</v>
      </c>
      <c r="B38" s="3" t="s">
        <v>35</v>
      </c>
      <c r="C38" s="3" t="s">
        <v>3</v>
      </c>
      <c r="D38" s="3" t="s">
        <v>575</v>
      </c>
      <c r="E38" s="3">
        <v>1</v>
      </c>
      <c r="F38" s="3" t="s">
        <v>589</v>
      </c>
      <c r="G38" s="3">
        <v>3</v>
      </c>
      <c r="H38" s="3">
        <v>1</v>
      </c>
      <c r="I38" s="3" t="s">
        <v>586</v>
      </c>
      <c r="J38" s="3">
        <v>0</v>
      </c>
      <c r="K38" s="3">
        <v>0</v>
      </c>
    </row>
    <row r="39" spans="1:11" x14ac:dyDescent="0.2">
      <c r="A39" s="3">
        <v>36</v>
      </c>
      <c r="B39" s="3" t="s">
        <v>35</v>
      </c>
      <c r="C39" s="3" t="s">
        <v>3</v>
      </c>
      <c r="D39" s="3" t="s">
        <v>575</v>
      </c>
      <c r="E39" s="3">
        <v>1</v>
      </c>
      <c r="F39" s="3" t="s">
        <v>589</v>
      </c>
      <c r="G39" s="3">
        <v>2</v>
      </c>
      <c r="H39" s="3">
        <v>1</v>
      </c>
      <c r="I39" s="3" t="s">
        <v>586</v>
      </c>
      <c r="J39" s="3">
        <v>0</v>
      </c>
      <c r="K39" s="3">
        <v>0</v>
      </c>
    </row>
    <row r="40" spans="1:11" x14ac:dyDescent="0.2">
      <c r="A40" s="3">
        <v>37</v>
      </c>
      <c r="B40" s="3" t="s">
        <v>39</v>
      </c>
      <c r="C40" s="3" t="s">
        <v>1</v>
      </c>
      <c r="D40" s="3" t="s">
        <v>575</v>
      </c>
      <c r="E40" s="3">
        <v>1</v>
      </c>
      <c r="F40" s="3" t="s">
        <v>587</v>
      </c>
      <c r="G40" s="3">
        <v>2</v>
      </c>
      <c r="H40" s="3">
        <v>2</v>
      </c>
      <c r="I40" s="3" t="s">
        <v>588</v>
      </c>
      <c r="J40" s="3">
        <v>1</v>
      </c>
      <c r="K40" s="3">
        <v>1</v>
      </c>
    </row>
    <row r="41" spans="1:11" x14ac:dyDescent="0.2">
      <c r="A41" s="3">
        <v>38</v>
      </c>
      <c r="B41" s="3" t="s">
        <v>39</v>
      </c>
      <c r="C41" s="3" t="s">
        <v>2</v>
      </c>
      <c r="D41" s="3" t="s">
        <v>575</v>
      </c>
      <c r="E41" s="3">
        <v>1</v>
      </c>
      <c r="F41" s="3" t="s">
        <v>585</v>
      </c>
      <c r="G41" s="3">
        <v>4</v>
      </c>
      <c r="H41" s="3">
        <v>3</v>
      </c>
      <c r="I41" s="3" t="s">
        <v>588</v>
      </c>
      <c r="J41" s="3">
        <v>1</v>
      </c>
      <c r="K41" s="3">
        <v>1</v>
      </c>
    </row>
    <row r="42" spans="1:11" x14ac:dyDescent="0.2">
      <c r="A42" s="3">
        <v>39</v>
      </c>
      <c r="B42" s="3" t="s">
        <v>39</v>
      </c>
      <c r="C42" s="3" t="s">
        <v>2</v>
      </c>
      <c r="D42" s="3" t="s">
        <v>575</v>
      </c>
      <c r="E42" s="3">
        <v>1</v>
      </c>
      <c r="F42" s="3" t="s">
        <v>585</v>
      </c>
      <c r="G42" s="3">
        <v>2</v>
      </c>
      <c r="H42" s="3">
        <v>1</v>
      </c>
      <c r="I42" s="3" t="s">
        <v>586</v>
      </c>
      <c r="J42" s="3">
        <v>0</v>
      </c>
      <c r="K42" s="3">
        <v>0</v>
      </c>
    </row>
    <row r="43" spans="1:11" x14ac:dyDescent="0.2">
      <c r="A43" s="3">
        <v>40</v>
      </c>
      <c r="B43" s="3" t="s">
        <v>39</v>
      </c>
      <c r="C43" s="3" t="s">
        <v>2</v>
      </c>
      <c r="D43" s="3" t="s">
        <v>575</v>
      </c>
      <c r="E43" s="3">
        <v>1</v>
      </c>
      <c r="F43" s="3" t="s">
        <v>585</v>
      </c>
      <c r="G43" s="3">
        <v>2</v>
      </c>
      <c r="H43" s="3">
        <v>2</v>
      </c>
      <c r="I43" s="3" t="s">
        <v>588</v>
      </c>
      <c r="J43" s="3">
        <v>0</v>
      </c>
      <c r="K43" s="3">
        <v>0</v>
      </c>
    </row>
    <row r="44" spans="1:11" x14ac:dyDescent="0.2">
      <c r="A44" s="3">
        <v>41</v>
      </c>
      <c r="B44" s="3" t="s">
        <v>43</v>
      </c>
      <c r="C44" s="3" t="s">
        <v>2</v>
      </c>
      <c r="D44" s="3" t="s">
        <v>575</v>
      </c>
      <c r="E44" s="3">
        <v>1</v>
      </c>
      <c r="F44" s="3" t="s">
        <v>585</v>
      </c>
      <c r="G44" s="3">
        <v>2</v>
      </c>
      <c r="H44" s="3">
        <v>1</v>
      </c>
      <c r="I44" s="3" t="s">
        <v>586</v>
      </c>
      <c r="J44" s="3">
        <v>1</v>
      </c>
      <c r="K44" s="3">
        <v>0</v>
      </c>
    </row>
    <row r="45" spans="1:11" x14ac:dyDescent="0.2">
      <c r="A45" s="3">
        <v>42</v>
      </c>
      <c r="B45" s="3" t="s">
        <v>43</v>
      </c>
      <c r="C45" s="3" t="s">
        <v>3</v>
      </c>
      <c r="D45" s="3" t="s">
        <v>575</v>
      </c>
      <c r="E45" s="3">
        <v>1</v>
      </c>
      <c r="F45" s="3" t="s">
        <v>589</v>
      </c>
      <c r="G45" s="3">
        <v>3</v>
      </c>
      <c r="H45" s="3">
        <v>1</v>
      </c>
      <c r="I45" s="3" t="s">
        <v>586</v>
      </c>
      <c r="J45" s="3">
        <v>1</v>
      </c>
      <c r="K45" s="3">
        <v>0</v>
      </c>
    </row>
    <row r="46" spans="1:11" x14ac:dyDescent="0.2">
      <c r="A46" s="3">
        <v>43</v>
      </c>
      <c r="B46" s="3" t="s">
        <v>43</v>
      </c>
      <c r="C46" s="3" t="s">
        <v>3</v>
      </c>
      <c r="D46" s="3" t="s">
        <v>575</v>
      </c>
      <c r="E46" s="3">
        <v>1</v>
      </c>
      <c r="F46" s="3" t="s">
        <v>589</v>
      </c>
      <c r="G46" s="3">
        <v>2</v>
      </c>
      <c r="H46" s="3">
        <v>1</v>
      </c>
      <c r="I46" s="3" t="s">
        <v>586</v>
      </c>
      <c r="J46" s="3">
        <v>0</v>
      </c>
      <c r="K46" s="3">
        <v>0</v>
      </c>
    </row>
    <row r="47" spans="1:11" x14ac:dyDescent="0.2">
      <c r="A47" s="3">
        <v>44</v>
      </c>
      <c r="B47" s="3" t="s">
        <v>47</v>
      </c>
      <c r="C47" s="3" t="s">
        <v>573</v>
      </c>
      <c r="D47" s="3" t="s">
        <v>574</v>
      </c>
      <c r="E47" s="3">
        <v>0.66666700000000001</v>
      </c>
      <c r="F47" s="3" t="s">
        <v>583</v>
      </c>
      <c r="G47" s="3">
        <v>6</v>
      </c>
      <c r="H47" s="3">
        <v>6</v>
      </c>
      <c r="I47" s="3" t="s">
        <v>584</v>
      </c>
      <c r="J47" s="3">
        <v>0</v>
      </c>
      <c r="K47" s="3">
        <v>0</v>
      </c>
    </row>
    <row r="48" spans="1:11" x14ac:dyDescent="0.2">
      <c r="A48" s="3">
        <v>45</v>
      </c>
      <c r="B48" s="3" t="s">
        <v>47</v>
      </c>
      <c r="C48" s="3" t="s">
        <v>1</v>
      </c>
      <c r="D48" s="3" t="s">
        <v>575</v>
      </c>
      <c r="E48" s="3">
        <v>1</v>
      </c>
      <c r="F48" s="3" t="s">
        <v>587</v>
      </c>
      <c r="G48" s="3">
        <v>2</v>
      </c>
      <c r="H48" s="3">
        <v>2</v>
      </c>
      <c r="I48" s="3" t="s">
        <v>588</v>
      </c>
      <c r="J48" s="3">
        <v>1</v>
      </c>
      <c r="K48" s="3">
        <v>1</v>
      </c>
    </row>
    <row r="49" spans="1:11" x14ac:dyDescent="0.2">
      <c r="A49" s="3">
        <v>46</v>
      </c>
      <c r="B49" s="3" t="s">
        <v>51</v>
      </c>
      <c r="C49" s="3" t="s">
        <v>573</v>
      </c>
      <c r="D49" s="3" t="s">
        <v>574</v>
      </c>
      <c r="E49" s="3">
        <v>1</v>
      </c>
      <c r="F49" s="3" t="s">
        <v>583</v>
      </c>
      <c r="G49" s="3">
        <v>6</v>
      </c>
      <c r="H49" s="3">
        <v>6</v>
      </c>
      <c r="I49" s="3" t="s">
        <v>584</v>
      </c>
      <c r="J49" s="3">
        <v>0</v>
      </c>
      <c r="K49" s="3">
        <v>0</v>
      </c>
    </row>
    <row r="50" spans="1:11" x14ac:dyDescent="0.2">
      <c r="A50" s="3">
        <v>47</v>
      </c>
      <c r="B50" s="3" t="s">
        <v>55</v>
      </c>
      <c r="C50" s="3" t="s">
        <v>1</v>
      </c>
      <c r="D50" s="3" t="s">
        <v>575</v>
      </c>
      <c r="E50" s="3">
        <v>1</v>
      </c>
      <c r="F50" s="3" t="s">
        <v>587</v>
      </c>
      <c r="G50" s="3">
        <v>2</v>
      </c>
      <c r="H50" s="3">
        <v>2</v>
      </c>
      <c r="I50" s="3" t="s">
        <v>588</v>
      </c>
      <c r="J50" s="3">
        <v>1</v>
      </c>
      <c r="K50" s="3">
        <v>1</v>
      </c>
    </row>
    <row r="51" spans="1:11" x14ac:dyDescent="0.2">
      <c r="A51" s="3">
        <v>48</v>
      </c>
      <c r="B51" s="3" t="s">
        <v>55</v>
      </c>
      <c r="C51" s="3" t="s">
        <v>3</v>
      </c>
      <c r="D51" s="3" t="s">
        <v>575</v>
      </c>
      <c r="E51" s="3">
        <v>1</v>
      </c>
      <c r="F51" s="3" t="s">
        <v>589</v>
      </c>
      <c r="G51" s="3">
        <v>3</v>
      </c>
      <c r="H51" s="3">
        <v>2</v>
      </c>
      <c r="I51" s="3" t="s">
        <v>588</v>
      </c>
      <c r="J51" s="3">
        <v>1</v>
      </c>
      <c r="K51" s="3">
        <v>1</v>
      </c>
    </row>
    <row r="52" spans="1:11" x14ac:dyDescent="0.2">
      <c r="A52" s="3">
        <v>49</v>
      </c>
      <c r="B52" s="3" t="s">
        <v>55</v>
      </c>
      <c r="C52" s="3" t="s">
        <v>3</v>
      </c>
      <c r="D52" s="3" t="s">
        <v>575</v>
      </c>
      <c r="E52" s="3">
        <v>1</v>
      </c>
      <c r="F52" s="3" t="s">
        <v>589</v>
      </c>
      <c r="G52" s="3">
        <v>2</v>
      </c>
      <c r="H52" s="3">
        <v>1</v>
      </c>
      <c r="I52" s="3" t="s">
        <v>586</v>
      </c>
      <c r="J52" s="3">
        <v>0</v>
      </c>
      <c r="K52" s="3">
        <v>0</v>
      </c>
    </row>
    <row r="53" spans="1:11" x14ac:dyDescent="0.2">
      <c r="A53" s="3">
        <v>50</v>
      </c>
      <c r="B53" s="3" t="s">
        <v>59</v>
      </c>
      <c r="C53" s="3" t="s">
        <v>1</v>
      </c>
      <c r="D53" s="3" t="s">
        <v>575</v>
      </c>
      <c r="E53" s="3">
        <v>1</v>
      </c>
      <c r="F53" s="3" t="s">
        <v>587</v>
      </c>
      <c r="G53" s="3">
        <v>5</v>
      </c>
      <c r="H53" s="3">
        <v>5</v>
      </c>
      <c r="I53" s="3" t="s">
        <v>588</v>
      </c>
      <c r="J53" s="3">
        <v>1</v>
      </c>
      <c r="K53" s="3">
        <v>1</v>
      </c>
    </row>
    <row r="54" spans="1:11" x14ac:dyDescent="0.2">
      <c r="A54" s="3">
        <v>51</v>
      </c>
      <c r="B54" s="3" t="s">
        <v>59</v>
      </c>
      <c r="C54" s="3" t="s">
        <v>1</v>
      </c>
      <c r="D54" s="3" t="s">
        <v>575</v>
      </c>
      <c r="E54" s="3">
        <v>1</v>
      </c>
      <c r="F54" s="3" t="s">
        <v>587</v>
      </c>
      <c r="G54" s="3">
        <v>4</v>
      </c>
      <c r="H54" s="3">
        <v>4</v>
      </c>
      <c r="I54" s="3" t="s">
        <v>588</v>
      </c>
      <c r="J54" s="3">
        <v>0</v>
      </c>
      <c r="K54" s="3">
        <v>0</v>
      </c>
    </row>
    <row r="55" spans="1:11" x14ac:dyDescent="0.2">
      <c r="A55" s="3">
        <v>52</v>
      </c>
      <c r="B55" s="3" t="s">
        <v>59</v>
      </c>
      <c r="C55" s="3" t="s">
        <v>1</v>
      </c>
      <c r="D55" s="3" t="s">
        <v>575</v>
      </c>
      <c r="E55" s="3">
        <v>1</v>
      </c>
      <c r="F55" s="3" t="s">
        <v>587</v>
      </c>
      <c r="G55" s="3">
        <v>3</v>
      </c>
      <c r="H55" s="3">
        <v>3</v>
      </c>
      <c r="I55" s="3" t="s">
        <v>588</v>
      </c>
      <c r="J55" s="3">
        <v>0</v>
      </c>
      <c r="K55" s="3">
        <v>0</v>
      </c>
    </row>
    <row r="56" spans="1:11" x14ac:dyDescent="0.2">
      <c r="A56" s="3">
        <v>53</v>
      </c>
      <c r="B56" s="3" t="s">
        <v>59</v>
      </c>
      <c r="C56" s="3" t="s">
        <v>1</v>
      </c>
      <c r="D56" s="3" t="s">
        <v>575</v>
      </c>
      <c r="E56" s="3">
        <v>1</v>
      </c>
      <c r="F56" s="3" t="s">
        <v>587</v>
      </c>
      <c r="G56" s="3">
        <v>2</v>
      </c>
      <c r="H56" s="3">
        <v>2</v>
      </c>
      <c r="I56" s="3" t="s">
        <v>588</v>
      </c>
      <c r="J56" s="3">
        <v>0</v>
      </c>
      <c r="K56" s="3">
        <v>0</v>
      </c>
    </row>
    <row r="57" spans="1:11" x14ac:dyDescent="0.2">
      <c r="A57" s="3">
        <v>54</v>
      </c>
      <c r="B57" s="3" t="s">
        <v>62</v>
      </c>
      <c r="C57" s="3" t="s">
        <v>2</v>
      </c>
      <c r="D57" s="3" t="s">
        <v>575</v>
      </c>
      <c r="E57" s="3">
        <v>1</v>
      </c>
      <c r="F57" s="3" t="s">
        <v>585</v>
      </c>
      <c r="G57" s="3">
        <v>2</v>
      </c>
      <c r="H57" s="3">
        <v>1</v>
      </c>
      <c r="I57" s="3" t="s">
        <v>586</v>
      </c>
      <c r="J57" s="3">
        <v>1</v>
      </c>
      <c r="K57" s="3">
        <v>0</v>
      </c>
    </row>
    <row r="58" spans="1:11" x14ac:dyDescent="0.2">
      <c r="A58" s="3">
        <v>55</v>
      </c>
      <c r="B58" s="3" t="s">
        <v>62</v>
      </c>
      <c r="C58" s="3" t="s">
        <v>3</v>
      </c>
      <c r="D58" s="3" t="s">
        <v>575</v>
      </c>
      <c r="E58" s="3">
        <v>1</v>
      </c>
      <c r="F58" s="3" t="s">
        <v>589</v>
      </c>
      <c r="G58" s="3">
        <v>3</v>
      </c>
      <c r="H58" s="3">
        <v>2</v>
      </c>
      <c r="I58" s="3" t="s">
        <v>588</v>
      </c>
      <c r="J58" s="3">
        <v>1</v>
      </c>
      <c r="K58" s="3">
        <v>1</v>
      </c>
    </row>
    <row r="59" spans="1:11" x14ac:dyDescent="0.2">
      <c r="A59" s="3">
        <v>56</v>
      </c>
      <c r="B59" s="3" t="s">
        <v>62</v>
      </c>
      <c r="C59" s="3" t="s">
        <v>3</v>
      </c>
      <c r="D59" s="3" t="s">
        <v>575</v>
      </c>
      <c r="E59" s="3">
        <v>1</v>
      </c>
      <c r="F59" s="3" t="s">
        <v>589</v>
      </c>
      <c r="G59" s="3">
        <v>2</v>
      </c>
      <c r="H59" s="3">
        <v>1</v>
      </c>
      <c r="I59" s="3" t="s">
        <v>586</v>
      </c>
      <c r="J59" s="3">
        <v>0</v>
      </c>
      <c r="K59" s="3">
        <v>0</v>
      </c>
    </row>
    <row r="60" spans="1:11" x14ac:dyDescent="0.2">
      <c r="A60" s="3">
        <v>57</v>
      </c>
      <c r="B60" s="3" t="s">
        <v>66</v>
      </c>
      <c r="C60" s="3" t="s">
        <v>1</v>
      </c>
      <c r="D60" s="3" t="s">
        <v>575</v>
      </c>
      <c r="E60" s="3">
        <v>1</v>
      </c>
      <c r="F60" s="3" t="s">
        <v>587</v>
      </c>
      <c r="G60" s="3">
        <v>2</v>
      </c>
      <c r="H60" s="3">
        <v>2</v>
      </c>
      <c r="I60" s="3" t="s">
        <v>588</v>
      </c>
      <c r="J60" s="3">
        <v>1</v>
      </c>
      <c r="K60" s="3">
        <v>1</v>
      </c>
    </row>
    <row r="61" spans="1:11" x14ac:dyDescent="0.2">
      <c r="A61" s="3">
        <v>58</v>
      </c>
      <c r="B61" s="3" t="s">
        <v>66</v>
      </c>
      <c r="C61" s="3" t="s">
        <v>3</v>
      </c>
      <c r="D61" s="3" t="s">
        <v>575</v>
      </c>
      <c r="E61" s="3">
        <v>1</v>
      </c>
      <c r="F61" s="3" t="s">
        <v>589</v>
      </c>
      <c r="G61" s="3">
        <v>2</v>
      </c>
      <c r="H61" s="3">
        <v>1</v>
      </c>
      <c r="I61" s="3" t="s">
        <v>586</v>
      </c>
      <c r="J61" s="3">
        <v>1</v>
      </c>
      <c r="K61" s="3">
        <v>0</v>
      </c>
    </row>
    <row r="62" spans="1:11" x14ac:dyDescent="0.2">
      <c r="A62" s="3">
        <v>59</v>
      </c>
      <c r="B62" s="3" t="s">
        <v>66</v>
      </c>
      <c r="C62" s="3" t="s">
        <v>2</v>
      </c>
      <c r="D62" s="3" t="s">
        <v>575</v>
      </c>
      <c r="E62" s="3">
        <v>1</v>
      </c>
      <c r="F62" s="3" t="s">
        <v>585</v>
      </c>
      <c r="G62" s="3">
        <v>2</v>
      </c>
      <c r="H62" s="3">
        <v>1</v>
      </c>
      <c r="I62" s="3" t="s">
        <v>586</v>
      </c>
      <c r="J62" s="3">
        <v>1</v>
      </c>
      <c r="K62" s="3">
        <v>0</v>
      </c>
    </row>
    <row r="63" spans="1:11" x14ac:dyDescent="0.2">
      <c r="A63" s="3">
        <v>60</v>
      </c>
      <c r="B63" s="3" t="s">
        <v>70</v>
      </c>
      <c r="C63" s="3" t="s">
        <v>3</v>
      </c>
      <c r="D63" s="3" t="s">
        <v>575</v>
      </c>
      <c r="E63" s="3">
        <v>1</v>
      </c>
      <c r="F63" s="3" t="s">
        <v>589</v>
      </c>
      <c r="G63" s="3">
        <v>4</v>
      </c>
      <c r="H63" s="3">
        <v>3</v>
      </c>
      <c r="I63" s="3" t="s">
        <v>588</v>
      </c>
      <c r="J63" s="3">
        <v>1</v>
      </c>
      <c r="K63" s="3">
        <v>1</v>
      </c>
    </row>
    <row r="64" spans="1:11" x14ac:dyDescent="0.2">
      <c r="A64" s="3">
        <v>61</v>
      </c>
      <c r="B64" s="3" t="s">
        <v>70</v>
      </c>
      <c r="C64" s="3" t="s">
        <v>3</v>
      </c>
      <c r="D64" s="3" t="s">
        <v>575</v>
      </c>
      <c r="E64" s="3">
        <v>1</v>
      </c>
      <c r="F64" s="3" t="s">
        <v>589</v>
      </c>
      <c r="G64" s="3">
        <v>2</v>
      </c>
      <c r="H64" s="3">
        <v>1</v>
      </c>
      <c r="I64" s="3" t="s">
        <v>586</v>
      </c>
      <c r="J64" s="3">
        <v>0</v>
      </c>
      <c r="K64" s="3">
        <v>0</v>
      </c>
    </row>
    <row r="65" spans="1:11" x14ac:dyDescent="0.2">
      <c r="A65" s="3">
        <v>62</v>
      </c>
      <c r="B65" s="3" t="s">
        <v>70</v>
      </c>
      <c r="C65" s="3" t="s">
        <v>3</v>
      </c>
      <c r="D65" s="3" t="s">
        <v>575</v>
      </c>
      <c r="E65" s="3">
        <v>1</v>
      </c>
      <c r="F65" s="3" t="s">
        <v>589</v>
      </c>
      <c r="G65" s="3">
        <v>2</v>
      </c>
      <c r="H65" s="3">
        <v>2</v>
      </c>
      <c r="I65" s="3" t="s">
        <v>588</v>
      </c>
      <c r="J65" s="3">
        <v>0</v>
      </c>
      <c r="K65" s="3">
        <v>0</v>
      </c>
    </row>
    <row r="66" spans="1:11" x14ac:dyDescent="0.2">
      <c r="A66" s="3">
        <v>63</v>
      </c>
      <c r="B66" s="3" t="s">
        <v>74</v>
      </c>
      <c r="C66" s="3" t="s">
        <v>1</v>
      </c>
      <c r="D66" s="3" t="s">
        <v>575</v>
      </c>
      <c r="E66" s="3">
        <v>1</v>
      </c>
      <c r="F66" s="3" t="s">
        <v>587</v>
      </c>
      <c r="G66" s="3">
        <v>3</v>
      </c>
      <c r="H66" s="3">
        <v>3</v>
      </c>
      <c r="I66" s="3" t="s">
        <v>588</v>
      </c>
      <c r="J66" s="3">
        <v>1</v>
      </c>
      <c r="K66" s="3">
        <v>1</v>
      </c>
    </row>
    <row r="67" spans="1:11" x14ac:dyDescent="0.2">
      <c r="A67" s="3">
        <v>64</v>
      </c>
      <c r="B67" s="3" t="s">
        <v>74</v>
      </c>
      <c r="C67" s="3" t="s">
        <v>1</v>
      </c>
      <c r="D67" s="3" t="s">
        <v>575</v>
      </c>
      <c r="E67" s="3">
        <v>1</v>
      </c>
      <c r="F67" s="3" t="s">
        <v>587</v>
      </c>
      <c r="G67" s="3">
        <v>2</v>
      </c>
      <c r="H67" s="3">
        <v>2</v>
      </c>
      <c r="I67" s="3" t="s">
        <v>588</v>
      </c>
      <c r="J67" s="3">
        <v>0</v>
      </c>
      <c r="K67" s="3">
        <v>0</v>
      </c>
    </row>
    <row r="68" spans="1:11" x14ac:dyDescent="0.2">
      <c r="A68" s="3">
        <v>65</v>
      </c>
      <c r="B68" s="3" t="s">
        <v>74</v>
      </c>
      <c r="C68" s="3" t="s">
        <v>2</v>
      </c>
      <c r="D68" s="3" t="s">
        <v>575</v>
      </c>
      <c r="E68" s="3">
        <v>1</v>
      </c>
      <c r="F68" s="3" t="s">
        <v>585</v>
      </c>
      <c r="G68" s="3">
        <v>3</v>
      </c>
      <c r="H68" s="3">
        <v>1</v>
      </c>
      <c r="I68" s="3" t="s">
        <v>586</v>
      </c>
      <c r="J68" s="3">
        <v>1</v>
      </c>
      <c r="K68" s="3">
        <v>0</v>
      </c>
    </row>
    <row r="69" spans="1:11" x14ac:dyDescent="0.2">
      <c r="A69" s="3">
        <v>66</v>
      </c>
      <c r="B69" s="3" t="s">
        <v>74</v>
      </c>
      <c r="C69" s="3" t="s">
        <v>2</v>
      </c>
      <c r="D69" s="3" t="s">
        <v>575</v>
      </c>
      <c r="E69" s="3">
        <v>1</v>
      </c>
      <c r="F69" s="3" t="s">
        <v>585</v>
      </c>
      <c r="G69" s="3">
        <v>2</v>
      </c>
      <c r="H69" s="3">
        <v>1</v>
      </c>
      <c r="I69" s="3" t="s">
        <v>586</v>
      </c>
      <c r="J69" s="3">
        <v>0</v>
      </c>
      <c r="K69" s="3">
        <v>0</v>
      </c>
    </row>
    <row r="70" spans="1:11" x14ac:dyDescent="0.2">
      <c r="A70" s="3">
        <v>67</v>
      </c>
      <c r="B70" s="3" t="s">
        <v>77</v>
      </c>
      <c r="C70" s="3" t="s">
        <v>1</v>
      </c>
      <c r="D70" s="3" t="s">
        <v>575</v>
      </c>
      <c r="E70" s="3">
        <v>1</v>
      </c>
      <c r="F70" s="3" t="s">
        <v>587</v>
      </c>
      <c r="G70" s="3">
        <v>2</v>
      </c>
      <c r="H70" s="3">
        <v>2</v>
      </c>
      <c r="I70" s="3" t="s">
        <v>588</v>
      </c>
      <c r="J70" s="3">
        <v>1</v>
      </c>
      <c r="K70" s="3">
        <v>1</v>
      </c>
    </row>
    <row r="71" spans="1:11" x14ac:dyDescent="0.2">
      <c r="A71" s="3">
        <v>68</v>
      </c>
      <c r="B71" s="3" t="s">
        <v>77</v>
      </c>
      <c r="C71" s="3" t="s">
        <v>2</v>
      </c>
      <c r="D71" s="3" t="s">
        <v>575</v>
      </c>
      <c r="E71" s="3">
        <v>1</v>
      </c>
      <c r="F71" s="3" t="s">
        <v>585</v>
      </c>
      <c r="G71" s="3">
        <v>2</v>
      </c>
      <c r="H71" s="3">
        <v>2</v>
      </c>
      <c r="I71" s="3" t="s">
        <v>588</v>
      </c>
      <c r="J71" s="3">
        <v>1</v>
      </c>
      <c r="K71" s="3">
        <v>1</v>
      </c>
    </row>
    <row r="72" spans="1:11" x14ac:dyDescent="0.2">
      <c r="A72" s="3">
        <v>69</v>
      </c>
      <c r="B72" s="3" t="s">
        <v>77</v>
      </c>
      <c r="C72" s="3" t="s">
        <v>3</v>
      </c>
      <c r="D72" s="3" t="s">
        <v>575</v>
      </c>
      <c r="E72" s="3">
        <v>1</v>
      </c>
      <c r="F72" s="3" t="s">
        <v>589</v>
      </c>
      <c r="G72" s="3">
        <v>2</v>
      </c>
      <c r="H72" s="3">
        <v>2</v>
      </c>
      <c r="I72" s="3" t="s">
        <v>588</v>
      </c>
      <c r="J72" s="3">
        <v>1</v>
      </c>
      <c r="K72" s="3">
        <v>1</v>
      </c>
    </row>
    <row r="73" spans="1:11" x14ac:dyDescent="0.2">
      <c r="A73" s="3">
        <v>70</v>
      </c>
      <c r="B73" s="3" t="s">
        <v>81</v>
      </c>
      <c r="C73" s="3" t="s">
        <v>1</v>
      </c>
      <c r="D73" s="3" t="s">
        <v>575</v>
      </c>
      <c r="E73" s="3">
        <v>1</v>
      </c>
      <c r="F73" s="3" t="s">
        <v>587</v>
      </c>
      <c r="G73" s="3">
        <v>2</v>
      </c>
      <c r="H73" s="3">
        <v>2</v>
      </c>
      <c r="I73" s="3" t="s">
        <v>588</v>
      </c>
      <c r="J73" s="3">
        <v>1</v>
      </c>
      <c r="K73" s="3">
        <v>1</v>
      </c>
    </row>
    <row r="74" spans="1:11" x14ac:dyDescent="0.2">
      <c r="A74" s="3">
        <v>71</v>
      </c>
      <c r="B74" s="3" t="s">
        <v>81</v>
      </c>
      <c r="C74" s="3" t="s">
        <v>3</v>
      </c>
      <c r="D74" s="3" t="s">
        <v>575</v>
      </c>
      <c r="E74" s="3">
        <v>1</v>
      </c>
      <c r="F74" s="3" t="s">
        <v>589</v>
      </c>
      <c r="G74" s="3">
        <v>3</v>
      </c>
      <c r="H74" s="3">
        <v>1</v>
      </c>
      <c r="I74" s="3" t="s">
        <v>586</v>
      </c>
      <c r="J74" s="3">
        <v>1</v>
      </c>
      <c r="K74" s="3">
        <v>0</v>
      </c>
    </row>
    <row r="75" spans="1:11" x14ac:dyDescent="0.2">
      <c r="A75" s="3">
        <v>72</v>
      </c>
      <c r="B75" s="3" t="s">
        <v>81</v>
      </c>
      <c r="C75" s="3" t="s">
        <v>3</v>
      </c>
      <c r="D75" s="3" t="s">
        <v>575</v>
      </c>
      <c r="E75" s="3">
        <v>1</v>
      </c>
      <c r="F75" s="3" t="s">
        <v>589</v>
      </c>
      <c r="G75" s="3">
        <v>2</v>
      </c>
      <c r="H75" s="3">
        <v>1</v>
      </c>
      <c r="I75" s="3" t="s">
        <v>586</v>
      </c>
      <c r="J75" s="3">
        <v>0</v>
      </c>
      <c r="K75" s="3">
        <v>0</v>
      </c>
    </row>
    <row r="76" spans="1:11" x14ac:dyDescent="0.2">
      <c r="A76" s="3">
        <v>73</v>
      </c>
      <c r="B76" s="3" t="s">
        <v>85</v>
      </c>
      <c r="C76" s="3" t="s">
        <v>3</v>
      </c>
      <c r="D76" s="3" t="s">
        <v>575</v>
      </c>
      <c r="E76" s="3">
        <v>1</v>
      </c>
      <c r="F76" s="3" t="s">
        <v>589</v>
      </c>
      <c r="G76" s="3">
        <v>3</v>
      </c>
      <c r="H76" s="3">
        <v>1</v>
      </c>
      <c r="I76" s="3" t="s">
        <v>586</v>
      </c>
      <c r="J76" s="3">
        <v>1</v>
      </c>
      <c r="K76" s="3">
        <v>0</v>
      </c>
    </row>
    <row r="77" spans="1:11" x14ac:dyDescent="0.2">
      <c r="A77" s="3">
        <v>74</v>
      </c>
      <c r="B77" s="3" t="s">
        <v>85</v>
      </c>
      <c r="C77" s="3" t="s">
        <v>3</v>
      </c>
      <c r="D77" s="3" t="s">
        <v>575</v>
      </c>
      <c r="E77" s="3">
        <v>1</v>
      </c>
      <c r="F77" s="3" t="s">
        <v>589</v>
      </c>
      <c r="G77" s="3">
        <v>2</v>
      </c>
      <c r="H77" s="3">
        <v>1</v>
      </c>
      <c r="I77" s="3" t="s">
        <v>586</v>
      </c>
      <c r="J77" s="3">
        <v>0</v>
      </c>
      <c r="K77" s="3">
        <v>0</v>
      </c>
    </row>
    <row r="78" spans="1:11" x14ac:dyDescent="0.2">
      <c r="A78" s="3">
        <v>75</v>
      </c>
      <c r="B78" s="3" t="s">
        <v>89</v>
      </c>
      <c r="C78" s="3" t="s">
        <v>1</v>
      </c>
      <c r="D78" s="3" t="s">
        <v>575</v>
      </c>
      <c r="E78" s="3">
        <v>1</v>
      </c>
      <c r="F78" s="3" t="s">
        <v>587</v>
      </c>
      <c r="G78" s="3">
        <v>3</v>
      </c>
      <c r="H78" s="3">
        <v>3</v>
      </c>
      <c r="I78" s="3" t="s">
        <v>588</v>
      </c>
      <c r="J78" s="3">
        <v>1</v>
      </c>
      <c r="K78" s="3">
        <v>1</v>
      </c>
    </row>
    <row r="79" spans="1:11" x14ac:dyDescent="0.2">
      <c r="A79" s="3">
        <v>76</v>
      </c>
      <c r="B79" s="3" t="s">
        <v>89</v>
      </c>
      <c r="C79" s="3" t="s">
        <v>1</v>
      </c>
      <c r="D79" s="3" t="s">
        <v>575</v>
      </c>
      <c r="E79" s="3">
        <v>1</v>
      </c>
      <c r="F79" s="3" t="s">
        <v>587</v>
      </c>
      <c r="G79" s="3">
        <v>2</v>
      </c>
      <c r="H79" s="3">
        <v>2</v>
      </c>
      <c r="I79" s="3" t="s">
        <v>588</v>
      </c>
      <c r="J79" s="3">
        <v>0</v>
      </c>
      <c r="K79" s="3">
        <v>0</v>
      </c>
    </row>
    <row r="80" spans="1:11" x14ac:dyDescent="0.2">
      <c r="A80" s="3">
        <v>77</v>
      </c>
      <c r="B80" s="3" t="s">
        <v>93</v>
      </c>
      <c r="C80" s="3" t="s">
        <v>3</v>
      </c>
      <c r="D80" s="3" t="s">
        <v>575</v>
      </c>
      <c r="E80" s="3">
        <v>1</v>
      </c>
      <c r="F80" s="3" t="s">
        <v>589</v>
      </c>
      <c r="G80" s="3">
        <v>3</v>
      </c>
      <c r="H80" s="3">
        <v>2</v>
      </c>
      <c r="I80" s="3" t="s">
        <v>588</v>
      </c>
      <c r="J80" s="3">
        <v>1</v>
      </c>
      <c r="K80" s="3">
        <v>1</v>
      </c>
    </row>
    <row r="81" spans="1:11" x14ac:dyDescent="0.2">
      <c r="A81" s="3">
        <v>78</v>
      </c>
      <c r="B81" s="3" t="s">
        <v>93</v>
      </c>
      <c r="C81" s="3" t="s">
        <v>3</v>
      </c>
      <c r="D81" s="3" t="s">
        <v>575</v>
      </c>
      <c r="E81" s="3">
        <v>1</v>
      </c>
      <c r="F81" s="3" t="s">
        <v>589</v>
      </c>
      <c r="G81" s="3">
        <v>2</v>
      </c>
      <c r="H81" s="3">
        <v>1</v>
      </c>
      <c r="I81" s="3" t="s">
        <v>586</v>
      </c>
      <c r="J81" s="3">
        <v>0</v>
      </c>
      <c r="K81" s="3">
        <v>0</v>
      </c>
    </row>
    <row r="82" spans="1:11" x14ac:dyDescent="0.2">
      <c r="A82" s="3">
        <v>79</v>
      </c>
      <c r="B82" s="3" t="s">
        <v>97</v>
      </c>
      <c r="C82" s="3" t="s">
        <v>2</v>
      </c>
      <c r="D82" s="3" t="s">
        <v>575</v>
      </c>
      <c r="E82" s="3">
        <v>1</v>
      </c>
      <c r="F82" s="3" t="s">
        <v>585</v>
      </c>
      <c r="G82" s="3">
        <v>2</v>
      </c>
      <c r="H82" s="3">
        <v>1</v>
      </c>
      <c r="I82" s="3" t="s">
        <v>586</v>
      </c>
      <c r="J82" s="3">
        <v>1</v>
      </c>
      <c r="K82" s="3">
        <v>0</v>
      </c>
    </row>
    <row r="83" spans="1:11" x14ac:dyDescent="0.2">
      <c r="A83" s="3">
        <v>80</v>
      </c>
      <c r="B83" s="3" t="s">
        <v>97</v>
      </c>
      <c r="C83" s="3" t="s">
        <v>3</v>
      </c>
      <c r="D83" s="3" t="s">
        <v>575</v>
      </c>
      <c r="E83" s="3">
        <v>1</v>
      </c>
      <c r="F83" s="3" t="s">
        <v>589</v>
      </c>
      <c r="G83" s="3">
        <v>2</v>
      </c>
      <c r="H83" s="3">
        <v>1</v>
      </c>
      <c r="I83" s="3" t="s">
        <v>586</v>
      </c>
      <c r="J83" s="3">
        <v>1</v>
      </c>
      <c r="K83" s="3">
        <v>0</v>
      </c>
    </row>
    <row r="84" spans="1:11" x14ac:dyDescent="0.2">
      <c r="A84" s="3">
        <v>81</v>
      </c>
      <c r="B84" s="3" t="s">
        <v>101</v>
      </c>
      <c r="C84" s="3" t="s">
        <v>3</v>
      </c>
      <c r="D84" s="3" t="s">
        <v>575</v>
      </c>
      <c r="E84" s="3">
        <v>1</v>
      </c>
      <c r="F84" s="3" t="s">
        <v>589</v>
      </c>
      <c r="G84" s="3">
        <v>3</v>
      </c>
      <c r="H84" s="3">
        <v>2</v>
      </c>
      <c r="I84" s="3" t="s">
        <v>588</v>
      </c>
      <c r="J84" s="3">
        <v>1</v>
      </c>
      <c r="K84" s="3">
        <v>1</v>
      </c>
    </row>
    <row r="85" spans="1:11" x14ac:dyDescent="0.2">
      <c r="A85" s="3">
        <v>82</v>
      </c>
      <c r="B85" s="3" t="s">
        <v>101</v>
      </c>
      <c r="C85" s="3" t="s">
        <v>3</v>
      </c>
      <c r="D85" s="3" t="s">
        <v>575</v>
      </c>
      <c r="E85" s="3">
        <v>1</v>
      </c>
      <c r="F85" s="3" t="s">
        <v>589</v>
      </c>
      <c r="G85" s="3">
        <v>2</v>
      </c>
      <c r="H85" s="3">
        <v>1</v>
      </c>
      <c r="I85" s="3" t="s">
        <v>586</v>
      </c>
      <c r="J85" s="3">
        <v>0</v>
      </c>
      <c r="K85" s="3">
        <v>0</v>
      </c>
    </row>
    <row r="86" spans="1:11" x14ac:dyDescent="0.2">
      <c r="A86" s="3">
        <v>83</v>
      </c>
      <c r="B86" s="3" t="s">
        <v>105</v>
      </c>
      <c r="C86" s="3" t="s">
        <v>1</v>
      </c>
      <c r="D86" s="3" t="s">
        <v>575</v>
      </c>
      <c r="E86" s="3">
        <v>1</v>
      </c>
      <c r="F86" s="3" t="s">
        <v>587</v>
      </c>
      <c r="G86" s="3">
        <v>3</v>
      </c>
      <c r="H86" s="3">
        <v>3</v>
      </c>
      <c r="I86" s="3" t="s">
        <v>588</v>
      </c>
      <c r="J86" s="3">
        <v>1</v>
      </c>
      <c r="K86" s="3">
        <v>1</v>
      </c>
    </row>
    <row r="87" spans="1:11" x14ac:dyDescent="0.2">
      <c r="A87" s="3">
        <v>84</v>
      </c>
      <c r="B87" s="3" t="s">
        <v>105</v>
      </c>
      <c r="C87" s="3" t="s">
        <v>1</v>
      </c>
      <c r="D87" s="3" t="s">
        <v>575</v>
      </c>
      <c r="E87" s="3">
        <v>1</v>
      </c>
      <c r="F87" s="3" t="s">
        <v>587</v>
      </c>
      <c r="G87" s="3">
        <v>2</v>
      </c>
      <c r="H87" s="3">
        <v>2</v>
      </c>
      <c r="I87" s="3" t="s">
        <v>588</v>
      </c>
      <c r="J87" s="3">
        <v>0</v>
      </c>
      <c r="K87" s="3">
        <v>0</v>
      </c>
    </row>
    <row r="88" spans="1:11" x14ac:dyDescent="0.2">
      <c r="A88" s="3">
        <v>85</v>
      </c>
      <c r="B88" s="3" t="s">
        <v>109</v>
      </c>
      <c r="C88" s="3" t="s">
        <v>2</v>
      </c>
      <c r="D88" s="3" t="s">
        <v>575</v>
      </c>
      <c r="E88" s="3">
        <v>1</v>
      </c>
      <c r="F88" s="3" t="s">
        <v>585</v>
      </c>
      <c r="G88" s="3">
        <v>3</v>
      </c>
      <c r="H88" s="3">
        <v>1</v>
      </c>
      <c r="I88" s="3" t="s">
        <v>586</v>
      </c>
      <c r="J88" s="3">
        <v>1</v>
      </c>
      <c r="K88" s="3">
        <v>0</v>
      </c>
    </row>
    <row r="89" spans="1:11" x14ac:dyDescent="0.2">
      <c r="A89" s="3">
        <v>86</v>
      </c>
      <c r="B89" s="3" t="s">
        <v>109</v>
      </c>
      <c r="C89" s="3" t="s">
        <v>2</v>
      </c>
      <c r="D89" s="3" t="s">
        <v>575</v>
      </c>
      <c r="E89" s="3">
        <v>1</v>
      </c>
      <c r="F89" s="3" t="s">
        <v>585</v>
      </c>
      <c r="G89" s="3">
        <v>2</v>
      </c>
      <c r="H89" s="3">
        <v>1</v>
      </c>
      <c r="I89" s="3" t="s">
        <v>586</v>
      </c>
      <c r="J89" s="3">
        <v>0</v>
      </c>
      <c r="K89" s="3">
        <v>0</v>
      </c>
    </row>
    <row r="90" spans="1:11" x14ac:dyDescent="0.2">
      <c r="A90" s="3">
        <v>87</v>
      </c>
      <c r="B90" s="3" t="s">
        <v>112</v>
      </c>
      <c r="C90" s="3" t="s">
        <v>3</v>
      </c>
      <c r="D90" s="3" t="s">
        <v>575</v>
      </c>
      <c r="E90" s="3">
        <v>1</v>
      </c>
      <c r="F90" s="3" t="s">
        <v>589</v>
      </c>
      <c r="G90" s="3">
        <v>2</v>
      </c>
      <c r="H90" s="3">
        <v>2</v>
      </c>
      <c r="I90" s="3" t="s">
        <v>588</v>
      </c>
      <c r="J90" s="3">
        <v>1</v>
      </c>
      <c r="K90" s="3">
        <v>1</v>
      </c>
    </row>
    <row r="91" spans="1:11" x14ac:dyDescent="0.2">
      <c r="A91" s="3">
        <v>88</v>
      </c>
      <c r="B91" s="3" t="s">
        <v>116</v>
      </c>
      <c r="C91" s="3" t="s">
        <v>3</v>
      </c>
      <c r="D91" s="3" t="s">
        <v>575</v>
      </c>
      <c r="E91" s="3">
        <v>1</v>
      </c>
      <c r="F91" s="3" t="s">
        <v>589</v>
      </c>
      <c r="G91" s="3">
        <v>2</v>
      </c>
      <c r="H91" s="3">
        <v>2</v>
      </c>
      <c r="I91" s="3" t="s">
        <v>588</v>
      </c>
      <c r="J91" s="3">
        <v>1</v>
      </c>
      <c r="K91" s="3">
        <v>1</v>
      </c>
    </row>
    <row r="92" spans="1:11" x14ac:dyDescent="0.2">
      <c r="A92" s="3">
        <v>89</v>
      </c>
      <c r="B92" s="3" t="s">
        <v>120</v>
      </c>
      <c r="C92" s="3" t="s">
        <v>3</v>
      </c>
      <c r="D92" s="3" t="s">
        <v>575</v>
      </c>
      <c r="E92" s="3">
        <v>1</v>
      </c>
      <c r="F92" s="3" t="s">
        <v>589</v>
      </c>
      <c r="G92" s="3">
        <v>2</v>
      </c>
      <c r="H92" s="3">
        <v>1</v>
      </c>
      <c r="I92" s="3" t="s">
        <v>586</v>
      </c>
      <c r="J92" s="3">
        <v>1</v>
      </c>
      <c r="K92" s="3">
        <v>0</v>
      </c>
    </row>
    <row r="93" spans="1:11" x14ac:dyDescent="0.2">
      <c r="A93" s="3">
        <v>90</v>
      </c>
      <c r="B93" s="3" t="s">
        <v>124</v>
      </c>
      <c r="C93" s="3" t="s">
        <v>1</v>
      </c>
      <c r="D93" s="3" t="s">
        <v>575</v>
      </c>
      <c r="E93" s="3">
        <v>1</v>
      </c>
      <c r="F93" s="3" t="s">
        <v>587</v>
      </c>
      <c r="G93" s="3">
        <v>2</v>
      </c>
      <c r="H93" s="3">
        <v>2</v>
      </c>
      <c r="I93" s="3" t="s">
        <v>588</v>
      </c>
      <c r="J93" s="3">
        <v>1</v>
      </c>
      <c r="K93" s="3">
        <v>1</v>
      </c>
    </row>
    <row r="94" spans="1:11" x14ac:dyDescent="0.2">
      <c r="A94" s="3">
        <v>91</v>
      </c>
      <c r="B94" s="3" t="s">
        <v>128</v>
      </c>
      <c r="C94" s="3" t="s">
        <v>3</v>
      </c>
      <c r="D94" s="3" t="s">
        <v>575</v>
      </c>
      <c r="E94" s="3">
        <v>1</v>
      </c>
      <c r="F94" s="3" t="s">
        <v>589</v>
      </c>
      <c r="G94" s="3">
        <v>2</v>
      </c>
      <c r="H94" s="3">
        <v>1</v>
      </c>
      <c r="I94" s="3" t="s">
        <v>586</v>
      </c>
      <c r="J94" s="3">
        <v>1</v>
      </c>
      <c r="K94" s="3">
        <v>0</v>
      </c>
    </row>
    <row r="95" spans="1:11" x14ac:dyDescent="0.2">
      <c r="A95" s="3">
        <v>92</v>
      </c>
      <c r="B95" s="3" t="s">
        <v>132</v>
      </c>
      <c r="C95" s="3" t="s">
        <v>3</v>
      </c>
      <c r="D95" s="3" t="s">
        <v>575</v>
      </c>
      <c r="E95" s="3">
        <v>1</v>
      </c>
      <c r="F95" s="3" t="s">
        <v>589</v>
      </c>
      <c r="G95" s="3">
        <v>2</v>
      </c>
      <c r="H95" s="3">
        <v>2</v>
      </c>
      <c r="I95" s="3" t="s">
        <v>588</v>
      </c>
      <c r="J95" s="3">
        <v>1</v>
      </c>
      <c r="K95" s="3">
        <v>1</v>
      </c>
    </row>
    <row r="96" spans="1:11" x14ac:dyDescent="0.2">
      <c r="A96" s="3">
        <v>93</v>
      </c>
      <c r="B96" s="3" t="s">
        <v>136</v>
      </c>
      <c r="C96" s="3" t="s">
        <v>1</v>
      </c>
      <c r="D96" s="3" t="s">
        <v>575</v>
      </c>
      <c r="E96" s="3">
        <v>1</v>
      </c>
      <c r="F96" s="3" t="s">
        <v>587</v>
      </c>
      <c r="G96" s="3">
        <v>2</v>
      </c>
      <c r="H96" s="3">
        <v>2</v>
      </c>
      <c r="I96" s="3" t="s">
        <v>588</v>
      </c>
      <c r="J96" s="3">
        <v>1</v>
      </c>
      <c r="K96" s="3">
        <v>1</v>
      </c>
    </row>
    <row r="97" spans="1:11" x14ac:dyDescent="0.2">
      <c r="A97" s="3">
        <v>94</v>
      </c>
      <c r="B97" s="3" t="s">
        <v>140</v>
      </c>
      <c r="C97" s="3" t="s">
        <v>2</v>
      </c>
      <c r="D97" s="3" t="s">
        <v>575</v>
      </c>
      <c r="E97" s="3">
        <v>1</v>
      </c>
      <c r="F97" s="3" t="s">
        <v>585</v>
      </c>
      <c r="G97" s="3">
        <v>2</v>
      </c>
      <c r="H97" s="3">
        <v>1</v>
      </c>
      <c r="I97" s="3" t="s">
        <v>586</v>
      </c>
      <c r="J97" s="3">
        <v>1</v>
      </c>
      <c r="K97" s="3">
        <v>0</v>
      </c>
    </row>
    <row r="98" spans="1:11" x14ac:dyDescent="0.2">
      <c r="A98" s="3">
        <v>95</v>
      </c>
      <c r="B98" s="3" t="s">
        <v>144</v>
      </c>
      <c r="C98" s="3" t="s">
        <v>3</v>
      </c>
      <c r="D98" s="3" t="s">
        <v>575</v>
      </c>
      <c r="E98" s="3">
        <v>1</v>
      </c>
      <c r="F98" s="3" t="s">
        <v>589</v>
      </c>
      <c r="G98" s="3">
        <v>2</v>
      </c>
      <c r="H98" s="3">
        <v>2</v>
      </c>
      <c r="I98" s="3" t="s">
        <v>588</v>
      </c>
      <c r="J98" s="3">
        <v>1</v>
      </c>
      <c r="K98" s="3">
        <v>1</v>
      </c>
    </row>
    <row r="99" spans="1:11" x14ac:dyDescent="0.2">
      <c r="A99" s="3">
        <v>96</v>
      </c>
      <c r="B99" s="3" t="s">
        <v>148</v>
      </c>
      <c r="C99" s="3" t="s">
        <v>2</v>
      </c>
      <c r="D99" s="3" t="s">
        <v>575</v>
      </c>
      <c r="E99" s="3">
        <v>1</v>
      </c>
      <c r="F99" s="3" t="s">
        <v>585</v>
      </c>
      <c r="G99" s="3">
        <v>2</v>
      </c>
      <c r="H99" s="3">
        <v>1</v>
      </c>
      <c r="I99" s="3" t="s">
        <v>586</v>
      </c>
      <c r="J99" s="3">
        <v>1</v>
      </c>
      <c r="K99" s="3">
        <v>0</v>
      </c>
    </row>
    <row r="100" spans="1:11" x14ac:dyDescent="0.2">
      <c r="A100" s="3">
        <v>97</v>
      </c>
      <c r="B100" s="3" t="s">
        <v>152</v>
      </c>
      <c r="C100" s="3" t="s">
        <v>2</v>
      </c>
      <c r="D100" s="3" t="s">
        <v>575</v>
      </c>
      <c r="E100" s="3">
        <v>1</v>
      </c>
      <c r="F100" s="3" t="s">
        <v>585</v>
      </c>
      <c r="G100" s="3">
        <v>2</v>
      </c>
      <c r="H100" s="3">
        <v>1</v>
      </c>
      <c r="I100" s="3" t="s">
        <v>586</v>
      </c>
      <c r="J100" s="3">
        <v>1</v>
      </c>
      <c r="K100" s="3">
        <v>0</v>
      </c>
    </row>
    <row r="101" spans="1:11" x14ac:dyDescent="0.2">
      <c r="A101" s="3">
        <v>98</v>
      </c>
      <c r="B101" s="3" t="s">
        <v>156</v>
      </c>
      <c r="C101" s="3" t="s">
        <v>3</v>
      </c>
      <c r="D101" s="3" t="s">
        <v>575</v>
      </c>
      <c r="E101" s="3">
        <v>1</v>
      </c>
      <c r="F101" s="3" t="s">
        <v>589</v>
      </c>
      <c r="G101" s="3">
        <v>2</v>
      </c>
      <c r="H101" s="3">
        <v>1</v>
      </c>
      <c r="I101" s="3" t="s">
        <v>586</v>
      </c>
      <c r="J101" s="3">
        <v>1</v>
      </c>
      <c r="K101" s="3">
        <v>0</v>
      </c>
    </row>
    <row r="102" spans="1:11" x14ac:dyDescent="0.2">
      <c r="A102" s="3">
        <v>99</v>
      </c>
      <c r="B102" s="3" t="s">
        <v>160</v>
      </c>
      <c r="C102" s="3" t="s">
        <v>3</v>
      </c>
      <c r="D102" s="3" t="s">
        <v>575</v>
      </c>
      <c r="E102" s="3">
        <v>1</v>
      </c>
      <c r="F102" s="3" t="s">
        <v>589</v>
      </c>
      <c r="G102" s="3">
        <v>2</v>
      </c>
      <c r="H102" s="3">
        <v>2</v>
      </c>
      <c r="I102" s="3" t="s">
        <v>588</v>
      </c>
      <c r="J102" s="3">
        <v>1</v>
      </c>
      <c r="K102" s="3">
        <v>1</v>
      </c>
    </row>
    <row r="103" spans="1:11" x14ac:dyDescent="0.2">
      <c r="A103" s="3">
        <v>100</v>
      </c>
      <c r="B103" s="3" t="s">
        <v>164</v>
      </c>
      <c r="C103" s="3" t="s">
        <v>3</v>
      </c>
      <c r="D103" s="3" t="s">
        <v>575</v>
      </c>
      <c r="E103" s="3">
        <v>1</v>
      </c>
      <c r="F103" s="3" t="s">
        <v>589</v>
      </c>
      <c r="G103" s="3">
        <v>2</v>
      </c>
      <c r="H103" s="3">
        <v>1</v>
      </c>
      <c r="I103" s="3" t="s">
        <v>586</v>
      </c>
      <c r="J103" s="3">
        <v>1</v>
      </c>
      <c r="K103" s="3">
        <v>0</v>
      </c>
    </row>
    <row r="104" spans="1:11" x14ac:dyDescent="0.2">
      <c r="A104" s="3">
        <v>101</v>
      </c>
      <c r="B104" s="3" t="s">
        <v>168</v>
      </c>
      <c r="C104" s="3" t="s">
        <v>3</v>
      </c>
      <c r="D104" s="3" t="s">
        <v>575</v>
      </c>
      <c r="E104" s="3">
        <v>1</v>
      </c>
      <c r="F104" s="3" t="s">
        <v>589</v>
      </c>
      <c r="G104" s="3">
        <v>2</v>
      </c>
      <c r="H104" s="3">
        <v>2</v>
      </c>
      <c r="I104" s="3" t="s">
        <v>588</v>
      </c>
      <c r="J104" s="3">
        <v>1</v>
      </c>
      <c r="K104" s="3">
        <v>1</v>
      </c>
    </row>
    <row r="105" spans="1:11" x14ac:dyDescent="0.2">
      <c r="A105" s="3">
        <v>102</v>
      </c>
      <c r="B105" s="3" t="s">
        <v>172</v>
      </c>
      <c r="C105" s="3" t="s">
        <v>3</v>
      </c>
      <c r="D105" s="3" t="s">
        <v>575</v>
      </c>
      <c r="E105" s="3">
        <v>1</v>
      </c>
      <c r="F105" s="3" t="s">
        <v>589</v>
      </c>
      <c r="G105" s="3">
        <v>3</v>
      </c>
      <c r="H105" s="3">
        <v>1</v>
      </c>
      <c r="I105" s="3" t="s">
        <v>586</v>
      </c>
      <c r="J105" s="3">
        <v>1</v>
      </c>
      <c r="K105" s="3">
        <v>0</v>
      </c>
    </row>
    <row r="106" spans="1:11" x14ac:dyDescent="0.2">
      <c r="A106" s="3">
        <v>103</v>
      </c>
      <c r="B106" s="3" t="s">
        <v>172</v>
      </c>
      <c r="C106" s="3" t="s">
        <v>3</v>
      </c>
      <c r="D106" s="3" t="s">
        <v>575</v>
      </c>
      <c r="E106" s="3">
        <v>1</v>
      </c>
      <c r="F106" s="3" t="s">
        <v>589</v>
      </c>
      <c r="G106" s="3">
        <v>2</v>
      </c>
      <c r="H106" s="3">
        <v>1</v>
      </c>
      <c r="I106" s="3" t="s">
        <v>586</v>
      </c>
      <c r="J106" s="3">
        <v>0</v>
      </c>
      <c r="K106" s="3">
        <v>0</v>
      </c>
    </row>
    <row r="107" spans="1:11" x14ac:dyDescent="0.2">
      <c r="A107" s="3">
        <v>104</v>
      </c>
      <c r="B107" s="3" t="s">
        <v>175</v>
      </c>
      <c r="C107" s="3" t="s">
        <v>2</v>
      </c>
      <c r="D107" s="3" t="s">
        <v>575</v>
      </c>
      <c r="E107" s="3">
        <v>1</v>
      </c>
      <c r="F107" s="3" t="s">
        <v>585</v>
      </c>
      <c r="G107" s="3">
        <v>3</v>
      </c>
      <c r="H107" s="3">
        <v>1</v>
      </c>
      <c r="I107" s="3" t="s">
        <v>586</v>
      </c>
      <c r="J107" s="3">
        <v>1</v>
      </c>
      <c r="K107" s="3">
        <v>0</v>
      </c>
    </row>
    <row r="108" spans="1:11" x14ac:dyDescent="0.2">
      <c r="A108" s="3">
        <v>105</v>
      </c>
      <c r="B108" s="3" t="s">
        <v>175</v>
      </c>
      <c r="C108" s="3" t="s">
        <v>2</v>
      </c>
      <c r="D108" s="3" t="s">
        <v>575</v>
      </c>
      <c r="E108" s="3">
        <v>1</v>
      </c>
      <c r="F108" s="3" t="s">
        <v>585</v>
      </c>
      <c r="G108" s="3">
        <v>2</v>
      </c>
      <c r="H108" s="3">
        <v>1</v>
      </c>
      <c r="I108" s="3" t="s">
        <v>586</v>
      </c>
      <c r="J108" s="3">
        <v>0</v>
      </c>
      <c r="K108" s="3">
        <v>0</v>
      </c>
    </row>
    <row r="109" spans="1:11" x14ac:dyDescent="0.2">
      <c r="A109" s="3">
        <v>106</v>
      </c>
      <c r="B109" s="3" t="s">
        <v>178</v>
      </c>
      <c r="C109" s="3" t="s">
        <v>2</v>
      </c>
      <c r="D109" s="3" t="s">
        <v>575</v>
      </c>
      <c r="E109" s="3">
        <v>1</v>
      </c>
      <c r="F109" s="3" t="s">
        <v>585</v>
      </c>
      <c r="G109" s="3">
        <v>4</v>
      </c>
      <c r="H109" s="3">
        <v>1</v>
      </c>
      <c r="I109" s="3" t="s">
        <v>586</v>
      </c>
      <c r="J109" s="3">
        <v>1</v>
      </c>
      <c r="K109" s="3">
        <v>0</v>
      </c>
    </row>
    <row r="110" spans="1:11" x14ac:dyDescent="0.2">
      <c r="A110" s="3">
        <v>107</v>
      </c>
      <c r="B110" s="3" t="s">
        <v>178</v>
      </c>
      <c r="C110" s="3" t="s">
        <v>2</v>
      </c>
      <c r="D110" s="3" t="s">
        <v>575</v>
      </c>
      <c r="E110" s="3">
        <v>1</v>
      </c>
      <c r="F110" s="3" t="s">
        <v>585</v>
      </c>
      <c r="G110" s="3">
        <v>3</v>
      </c>
      <c r="H110" s="3">
        <v>1</v>
      </c>
      <c r="I110" s="3" t="s">
        <v>586</v>
      </c>
      <c r="J110" s="3">
        <v>0</v>
      </c>
      <c r="K110" s="3">
        <v>0</v>
      </c>
    </row>
    <row r="111" spans="1:11" x14ac:dyDescent="0.2">
      <c r="A111" s="3">
        <v>108</v>
      </c>
      <c r="B111" s="3" t="s">
        <v>178</v>
      </c>
      <c r="C111" s="3" t="s">
        <v>2</v>
      </c>
      <c r="D111" s="3" t="s">
        <v>575</v>
      </c>
      <c r="E111" s="3">
        <v>1</v>
      </c>
      <c r="F111" s="3" t="s">
        <v>585</v>
      </c>
      <c r="G111" s="3">
        <v>2</v>
      </c>
      <c r="H111" s="3">
        <v>1</v>
      </c>
      <c r="I111" s="3" t="s">
        <v>586</v>
      </c>
      <c r="J111" s="3">
        <v>0</v>
      </c>
      <c r="K111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2189A-76E2-BB45-B1B2-FB00B44050A2}">
  <dimension ref="A1:J85"/>
  <sheetViews>
    <sheetView tabSelected="1" workbookViewId="0">
      <selection activeCell="I33" sqref="I33"/>
    </sheetView>
  </sheetViews>
  <sheetFormatPr baseColWidth="10" defaultRowHeight="16" x14ac:dyDescent="0.2"/>
  <cols>
    <col min="1" max="1" width="18.6640625" style="1" customWidth="1"/>
    <col min="2" max="2" width="7" style="1" bestFit="1" customWidth="1"/>
    <col min="3" max="3" width="10.6640625" style="1" bestFit="1" customWidth="1"/>
    <col min="4" max="4" width="8.5" style="1" bestFit="1" customWidth="1"/>
    <col min="5" max="5" width="20.1640625" style="1" bestFit="1" customWidth="1"/>
    <col min="6" max="6" width="5.33203125" style="1" bestFit="1" customWidth="1"/>
    <col min="7" max="7" width="9.5" style="1" bestFit="1" customWidth="1"/>
    <col min="8" max="8" width="8.5" style="1" bestFit="1" customWidth="1"/>
    <col min="9" max="9" width="56.33203125" style="1" customWidth="1"/>
    <col min="10" max="10" width="45.6640625" style="1" bestFit="1" customWidth="1"/>
    <col min="11" max="11" width="47" style="1" bestFit="1" customWidth="1"/>
    <col min="12" max="16384" width="10.83203125" style="1"/>
  </cols>
  <sheetData>
    <row r="1" spans="1:10" x14ac:dyDescent="0.2">
      <c r="A1" s="1" t="s">
        <v>784</v>
      </c>
    </row>
    <row r="3" spans="1:10" ht="75" x14ac:dyDescent="0.2">
      <c r="A3" s="9" t="s">
        <v>590</v>
      </c>
      <c r="B3" s="9" t="s">
        <v>329</v>
      </c>
      <c r="C3" s="9" t="s">
        <v>591</v>
      </c>
      <c r="D3" s="9" t="s">
        <v>592</v>
      </c>
      <c r="E3" s="9" t="s">
        <v>593</v>
      </c>
      <c r="F3" s="9" t="s">
        <v>594</v>
      </c>
      <c r="G3" s="9" t="s">
        <v>595</v>
      </c>
      <c r="H3" s="9" t="s">
        <v>596</v>
      </c>
      <c r="I3" s="9" t="s">
        <v>597</v>
      </c>
      <c r="J3" s="9" t="s">
        <v>598</v>
      </c>
    </row>
    <row r="4" spans="1:10" x14ac:dyDescent="0.2">
      <c r="A4" s="4" t="s">
        <v>599</v>
      </c>
      <c r="B4" s="4" t="str">
        <f t="shared" ref="B4:B67" si="0">IF(LEFT(A4,5)="Sobic","Sorghum",IF(LEFT(A4,8)="BGIOSGA0","Rice","Maize"))</f>
        <v>Rice</v>
      </c>
      <c r="C4" s="4" t="s">
        <v>12</v>
      </c>
      <c r="D4" s="4">
        <f>COUNTIFS('[1]2_Sequences'!$G$2:$G$323,A4,'[1]2_Sequences'!$I$2:$I$323,"Gene-level")</f>
        <v>1</v>
      </c>
      <c r="E4" s="4" t="s">
        <v>600</v>
      </c>
      <c r="F4" s="5"/>
      <c r="G4" s="5"/>
      <c r="H4" s="5"/>
      <c r="I4" s="5"/>
      <c r="J4" s="5"/>
    </row>
    <row r="5" spans="1:10" x14ac:dyDescent="0.2">
      <c r="A5" s="4" t="s">
        <v>602</v>
      </c>
      <c r="B5" s="4" t="str">
        <f t="shared" si="0"/>
        <v>Rice</v>
      </c>
      <c r="C5" s="4" t="s">
        <v>12</v>
      </c>
      <c r="D5" s="4">
        <f>COUNTIFS('[1]2_Sequences'!$G$2:$G$323,A5,'[1]2_Sequences'!$I$2:$I$323,"Gene-level")</f>
        <v>1</v>
      </c>
      <c r="E5" s="4" t="s">
        <v>603</v>
      </c>
      <c r="F5" s="5"/>
      <c r="G5" s="5"/>
      <c r="H5" s="5"/>
      <c r="I5" s="5"/>
      <c r="J5" s="5"/>
    </row>
    <row r="6" spans="1:10" x14ac:dyDescent="0.2">
      <c r="A6" s="4" t="s">
        <v>604</v>
      </c>
      <c r="B6" s="4" t="str">
        <f t="shared" si="0"/>
        <v>Rice</v>
      </c>
      <c r="C6" s="4" t="s">
        <v>124</v>
      </c>
      <c r="D6" s="4">
        <f>COUNTIFS('[1]2_Sequences'!$G$2:$G$323,A6,'[1]2_Sequences'!$I$2:$I$323,"Gene-level")</f>
        <v>1</v>
      </c>
      <c r="E6" s="4" t="s">
        <v>605</v>
      </c>
      <c r="F6" s="5"/>
      <c r="G6" s="5"/>
      <c r="H6" s="5"/>
      <c r="I6" s="5"/>
      <c r="J6" s="5"/>
    </row>
    <row r="7" spans="1:10" x14ac:dyDescent="0.2">
      <c r="A7" s="4" t="s">
        <v>606</v>
      </c>
      <c r="B7" s="4" t="str">
        <f t="shared" si="0"/>
        <v>Rice</v>
      </c>
      <c r="C7" s="4" t="s">
        <v>89</v>
      </c>
      <c r="D7" s="4">
        <f>COUNTIFS('[1]2_Sequences'!$G$2:$G$323,A7,'[1]2_Sequences'!$I$2:$I$323,"Gene-level")</f>
        <v>2</v>
      </c>
      <c r="E7" s="4" t="s">
        <v>607</v>
      </c>
      <c r="F7" s="5"/>
      <c r="G7" s="5"/>
      <c r="H7" s="5"/>
      <c r="I7" s="5"/>
      <c r="J7" s="5"/>
    </row>
    <row r="8" spans="1:10" x14ac:dyDescent="0.2">
      <c r="A8" s="4" t="s">
        <v>608</v>
      </c>
      <c r="B8" s="4" t="str">
        <f t="shared" si="0"/>
        <v>Rice</v>
      </c>
      <c r="C8" s="4" t="s">
        <v>4</v>
      </c>
      <c r="D8" s="4">
        <f>COUNTIFS('[1]2_Sequences'!$G$2:$G$323,A8,'[1]2_Sequences'!$I$2:$I$323,"Gene-level")</f>
        <v>1</v>
      </c>
      <c r="E8" s="4" t="s">
        <v>609</v>
      </c>
      <c r="F8" s="5"/>
      <c r="G8" s="5"/>
      <c r="H8" s="5"/>
      <c r="I8" s="5"/>
      <c r="J8" s="5"/>
    </row>
    <row r="9" spans="1:10" x14ac:dyDescent="0.2">
      <c r="A9" s="4" t="s">
        <v>610</v>
      </c>
      <c r="B9" s="4" t="str">
        <f t="shared" si="0"/>
        <v>Rice</v>
      </c>
      <c r="C9" s="4" t="s">
        <v>55</v>
      </c>
      <c r="D9" s="4">
        <f>COUNTIFS('[1]2_Sequences'!$G$2:$G$323,A9,'[1]2_Sequences'!$I$2:$I$323,"Gene-level")</f>
        <v>1</v>
      </c>
      <c r="E9" s="4" t="s">
        <v>611</v>
      </c>
      <c r="F9" s="5"/>
      <c r="G9" s="5"/>
      <c r="H9" s="5"/>
      <c r="I9" s="5"/>
      <c r="J9" s="5"/>
    </row>
    <row r="10" spans="1:10" x14ac:dyDescent="0.2">
      <c r="A10" s="4" t="s">
        <v>612</v>
      </c>
      <c r="B10" s="4" t="str">
        <f t="shared" si="0"/>
        <v>Rice</v>
      </c>
      <c r="C10" s="4" t="s">
        <v>136</v>
      </c>
      <c r="D10" s="4">
        <f>COUNTIFS('[1]2_Sequences'!$G$2:$G$323,A10,'[1]2_Sequences'!$I$2:$I$323,"Gene-level")</f>
        <v>1</v>
      </c>
      <c r="E10" s="4" t="s">
        <v>613</v>
      </c>
      <c r="F10" s="5"/>
      <c r="G10" s="5"/>
      <c r="H10" s="5"/>
      <c r="I10" s="5"/>
      <c r="J10" s="5"/>
    </row>
    <row r="11" spans="1:10" x14ac:dyDescent="0.2">
      <c r="A11" s="4" t="s">
        <v>614</v>
      </c>
      <c r="B11" s="4" t="str">
        <f t="shared" si="0"/>
        <v>Rice</v>
      </c>
      <c r="C11" s="4" t="s">
        <v>136</v>
      </c>
      <c r="D11" s="4">
        <f>COUNTIFS('[1]2_Sequences'!$G$2:$G$323,A11,'[1]2_Sequences'!$I$2:$I$323,"Gene-level")</f>
        <v>1</v>
      </c>
      <c r="E11" s="4" t="s">
        <v>615</v>
      </c>
      <c r="F11" s="5"/>
      <c r="G11" s="5"/>
      <c r="H11" s="5"/>
      <c r="I11" s="5"/>
      <c r="J11" s="5"/>
    </row>
    <row r="12" spans="1:10" x14ac:dyDescent="0.2">
      <c r="A12" s="4" t="s">
        <v>616</v>
      </c>
      <c r="B12" s="4" t="str">
        <f t="shared" si="0"/>
        <v>Rice</v>
      </c>
      <c r="C12" s="4" t="s">
        <v>59</v>
      </c>
      <c r="D12" s="4">
        <f>COUNTIFS('[1]2_Sequences'!$G$2:$G$323,A12,'[1]2_Sequences'!$I$2:$I$323,"Gene-level")</f>
        <v>1</v>
      </c>
      <c r="E12" s="4" t="s">
        <v>617</v>
      </c>
      <c r="F12" s="5"/>
      <c r="G12" s="5"/>
      <c r="H12" s="5"/>
      <c r="I12" s="5"/>
      <c r="J12" s="5"/>
    </row>
    <row r="13" spans="1:10" x14ac:dyDescent="0.2">
      <c r="A13" s="4" t="s">
        <v>618</v>
      </c>
      <c r="B13" s="4" t="str">
        <f t="shared" si="0"/>
        <v>Rice</v>
      </c>
      <c r="C13" s="4" t="s">
        <v>89</v>
      </c>
      <c r="D13" s="4">
        <f>COUNTIFS('[1]2_Sequences'!$G$2:$G$323,A13,'[1]2_Sequences'!$I$2:$I$323,"Gene-level")</f>
        <v>1</v>
      </c>
      <c r="E13" s="4" t="s">
        <v>619</v>
      </c>
      <c r="F13" s="5"/>
      <c r="G13" s="5"/>
      <c r="H13" s="5"/>
      <c r="I13" s="5"/>
      <c r="J13" s="5"/>
    </row>
    <row r="14" spans="1:10" x14ac:dyDescent="0.2">
      <c r="A14" s="4" t="s">
        <v>620</v>
      </c>
      <c r="B14" s="4" t="str">
        <f t="shared" si="0"/>
        <v>Rice</v>
      </c>
      <c r="C14" s="4" t="s">
        <v>47</v>
      </c>
      <c r="D14" s="4">
        <f>COUNTIFS('[1]2_Sequences'!$G$2:$G$323,A14,'[1]2_Sequences'!$I$2:$I$323,"Gene-level")</f>
        <v>1</v>
      </c>
      <c r="E14" s="4" t="s">
        <v>621</v>
      </c>
      <c r="F14" s="5"/>
      <c r="G14" s="5"/>
      <c r="H14" s="5"/>
      <c r="I14" s="5"/>
      <c r="J14" s="5"/>
    </row>
    <row r="15" spans="1:10" x14ac:dyDescent="0.2">
      <c r="A15" s="4" t="s">
        <v>622</v>
      </c>
      <c r="B15" s="4" t="str">
        <f t="shared" si="0"/>
        <v>Rice</v>
      </c>
      <c r="C15" s="4" t="s">
        <v>55</v>
      </c>
      <c r="D15" s="4">
        <f>COUNTIFS('[1]2_Sequences'!$G$2:$G$323,A15,'[1]2_Sequences'!$I$2:$I$323,"Gene-level")</f>
        <v>1</v>
      </c>
      <c r="E15" s="4" t="s">
        <v>623</v>
      </c>
      <c r="F15" s="5"/>
      <c r="G15" s="5"/>
      <c r="H15" s="5"/>
      <c r="I15" s="5"/>
      <c r="J15" s="5"/>
    </row>
    <row r="16" spans="1:10" x14ac:dyDescent="0.2">
      <c r="A16" s="4" t="s">
        <v>624</v>
      </c>
      <c r="B16" s="4" t="str">
        <f t="shared" si="0"/>
        <v>Rice</v>
      </c>
      <c r="C16" s="4" t="s">
        <v>4</v>
      </c>
      <c r="D16" s="4">
        <f>COUNTIFS('[1]2_Sequences'!$G$2:$G$323,A16,'[1]2_Sequences'!$I$2:$I$323,"Gene-level")</f>
        <v>1</v>
      </c>
      <c r="E16" s="4" t="s">
        <v>625</v>
      </c>
      <c r="F16" s="5"/>
      <c r="G16" s="5"/>
      <c r="H16" s="5"/>
      <c r="I16" s="5"/>
      <c r="J16" s="5"/>
    </row>
    <row r="17" spans="1:10" x14ac:dyDescent="0.2">
      <c r="A17" s="4" t="s">
        <v>626</v>
      </c>
      <c r="B17" s="4" t="str">
        <f t="shared" si="0"/>
        <v>Rice</v>
      </c>
      <c r="C17" s="4" t="s">
        <v>66</v>
      </c>
      <c r="D17" s="4">
        <f>COUNTIFS('[1]2_Sequences'!$G$2:$G$323,A17,'[1]2_Sequences'!$I$2:$I$323,"Gene-level")</f>
        <v>1</v>
      </c>
      <c r="E17" s="4" t="s">
        <v>627</v>
      </c>
      <c r="F17" s="5"/>
      <c r="G17" s="5"/>
      <c r="H17" s="5"/>
      <c r="I17" s="5"/>
      <c r="J17" s="5"/>
    </row>
    <row r="18" spans="1:10" x14ac:dyDescent="0.2">
      <c r="A18" s="4" t="s">
        <v>628</v>
      </c>
      <c r="B18" s="4" t="str">
        <f t="shared" si="0"/>
        <v>Rice</v>
      </c>
      <c r="C18" s="4" t="s">
        <v>59</v>
      </c>
      <c r="D18" s="4">
        <f>COUNTIFS('[1]2_Sequences'!$G$2:$G$323,A18,'[1]2_Sequences'!$I$2:$I$323,"Gene-level")</f>
        <v>3</v>
      </c>
      <c r="E18" s="4" t="s">
        <v>629</v>
      </c>
      <c r="F18" s="5"/>
      <c r="G18" s="5"/>
      <c r="H18" s="5"/>
      <c r="I18" s="5"/>
      <c r="J18" s="5"/>
    </row>
    <row r="19" spans="1:10" x14ac:dyDescent="0.2">
      <c r="A19" s="4" t="s">
        <v>630</v>
      </c>
      <c r="B19" s="4" t="str">
        <f t="shared" si="0"/>
        <v>Rice</v>
      </c>
      <c r="C19" s="4" t="s">
        <v>59</v>
      </c>
      <c r="D19" s="4">
        <f>COUNTIFS('[1]2_Sequences'!$G$2:$G$323,A19,'[1]2_Sequences'!$I$2:$I$323,"Gene-level")</f>
        <v>2</v>
      </c>
      <c r="E19" s="4" t="s">
        <v>631</v>
      </c>
      <c r="F19" s="5"/>
      <c r="G19" s="5"/>
      <c r="H19" s="5"/>
      <c r="I19" s="5"/>
      <c r="J19" s="5"/>
    </row>
    <row r="20" spans="1:10" x14ac:dyDescent="0.2">
      <c r="A20" s="4" t="s">
        <v>632</v>
      </c>
      <c r="B20" s="4" t="str">
        <f t="shared" si="0"/>
        <v>Rice</v>
      </c>
      <c r="C20" s="4" t="s">
        <v>59</v>
      </c>
      <c r="D20" s="4">
        <f>COUNTIFS('[1]2_Sequences'!$G$2:$G$323,A20,'[1]2_Sequences'!$I$2:$I$323,"Gene-level")</f>
        <v>4</v>
      </c>
      <c r="E20" s="4" t="s">
        <v>633</v>
      </c>
      <c r="F20" s="5"/>
      <c r="G20" s="5"/>
      <c r="H20" s="5"/>
      <c r="I20" s="5"/>
      <c r="J20" s="5"/>
    </row>
    <row r="21" spans="1:10" x14ac:dyDescent="0.2">
      <c r="A21" s="4" t="s">
        <v>634</v>
      </c>
      <c r="B21" s="4" t="str">
        <f t="shared" si="0"/>
        <v>Rice</v>
      </c>
      <c r="C21" s="4" t="s">
        <v>59</v>
      </c>
      <c r="D21" s="4">
        <f>COUNTIFS('[1]2_Sequences'!$G$2:$G$323,A21,'[1]2_Sequences'!$I$2:$I$323,"Gene-level")</f>
        <v>4</v>
      </c>
      <c r="E21" s="4" t="s">
        <v>635</v>
      </c>
      <c r="F21" s="5"/>
      <c r="G21" s="5"/>
      <c r="H21" s="5"/>
      <c r="I21" s="5"/>
      <c r="J21" s="5"/>
    </row>
    <row r="22" spans="1:10" x14ac:dyDescent="0.2">
      <c r="A22" s="4" t="s">
        <v>636</v>
      </c>
      <c r="B22" s="4" t="str">
        <f t="shared" si="0"/>
        <v>Rice</v>
      </c>
      <c r="C22" s="4" t="s">
        <v>66</v>
      </c>
      <c r="D22" s="4">
        <f>COUNTIFS('[1]2_Sequences'!$G$2:$G$323,A22,'[1]2_Sequences'!$I$2:$I$323,"Gene-level")</f>
        <v>1</v>
      </c>
      <c r="E22" s="4" t="s">
        <v>637</v>
      </c>
      <c r="F22" s="5"/>
      <c r="G22" s="5"/>
      <c r="H22" s="5"/>
      <c r="I22" s="5"/>
      <c r="J22" s="5"/>
    </row>
    <row r="23" spans="1:10" x14ac:dyDescent="0.2">
      <c r="A23" s="4" t="s">
        <v>638</v>
      </c>
      <c r="B23" s="4" t="str">
        <f t="shared" si="0"/>
        <v>Rice</v>
      </c>
      <c r="C23" s="4" t="s">
        <v>105</v>
      </c>
      <c r="D23" s="4">
        <f>COUNTIFS('[1]2_Sequences'!$G$2:$G$323,A23,'[1]2_Sequences'!$I$2:$I$323,"Gene-level")</f>
        <v>1</v>
      </c>
      <c r="E23" s="4" t="s">
        <v>639</v>
      </c>
      <c r="F23" s="5"/>
      <c r="G23" s="5"/>
      <c r="H23" s="5"/>
      <c r="I23" s="5"/>
      <c r="J23" s="5"/>
    </row>
    <row r="24" spans="1:10" x14ac:dyDescent="0.2">
      <c r="A24" s="4" t="s">
        <v>640</v>
      </c>
      <c r="B24" s="4" t="str">
        <f t="shared" si="0"/>
        <v>Rice</v>
      </c>
      <c r="C24" s="4" t="s">
        <v>47</v>
      </c>
      <c r="D24" s="4">
        <f>COUNTIFS('[1]2_Sequences'!$G$2:$G$323,A24,'[1]2_Sequences'!$I$2:$I$323,"Gene-level")</f>
        <v>1</v>
      </c>
      <c r="E24" s="4" t="s">
        <v>641</v>
      </c>
      <c r="F24" s="5"/>
      <c r="G24" s="5"/>
      <c r="H24" s="5"/>
      <c r="I24" s="5"/>
      <c r="J24" s="5"/>
    </row>
    <row r="25" spans="1:10" x14ac:dyDescent="0.2">
      <c r="A25" s="4" t="s">
        <v>642</v>
      </c>
      <c r="B25" s="4" t="str">
        <f t="shared" si="0"/>
        <v>Rice</v>
      </c>
      <c r="C25" s="4" t="s">
        <v>124</v>
      </c>
      <c r="D25" s="4">
        <f>COUNTIFS('[1]2_Sequences'!$G$2:$G$323,A25,'[1]2_Sequences'!$I$2:$I$323,"Gene-level")</f>
        <v>1</v>
      </c>
      <c r="E25" s="4" t="s">
        <v>643</v>
      </c>
      <c r="F25" s="5"/>
      <c r="G25" s="5"/>
      <c r="H25" s="5"/>
      <c r="I25" s="5"/>
      <c r="J25" s="5"/>
    </row>
    <row r="26" spans="1:10" x14ac:dyDescent="0.2">
      <c r="A26" s="4" t="s">
        <v>644</v>
      </c>
      <c r="B26" s="4" t="str">
        <f t="shared" si="0"/>
        <v>Rice</v>
      </c>
      <c r="C26" s="4" t="s">
        <v>89</v>
      </c>
      <c r="D26" s="4">
        <f>COUNTIFS('[1]2_Sequences'!$G$2:$G$323,A26,'[1]2_Sequences'!$I$2:$I$323,"Gene-level")</f>
        <v>2</v>
      </c>
      <c r="E26" s="4" t="s">
        <v>645</v>
      </c>
      <c r="F26" s="5"/>
      <c r="G26" s="5"/>
      <c r="H26" s="5"/>
      <c r="I26" s="5"/>
      <c r="J26" s="5"/>
    </row>
    <row r="27" spans="1:10" x14ac:dyDescent="0.2">
      <c r="A27" s="4" t="s">
        <v>646</v>
      </c>
      <c r="B27" s="4" t="str">
        <f t="shared" si="0"/>
        <v>Rice</v>
      </c>
      <c r="C27" s="4" t="s">
        <v>74</v>
      </c>
      <c r="D27" s="4">
        <f>COUNTIFS('[1]2_Sequences'!$G$2:$G$323,A27,'[1]2_Sequences'!$I$2:$I$323,"Gene-level")</f>
        <v>2</v>
      </c>
      <c r="E27" s="4" t="s">
        <v>647</v>
      </c>
      <c r="F27" s="5"/>
      <c r="G27" s="5"/>
      <c r="H27" s="5"/>
      <c r="I27" s="5"/>
      <c r="J27" s="5"/>
    </row>
    <row r="28" spans="1:10" x14ac:dyDescent="0.2">
      <c r="A28" s="4" t="s">
        <v>648</v>
      </c>
      <c r="B28" s="4" t="str">
        <f t="shared" si="0"/>
        <v>Rice</v>
      </c>
      <c r="C28" s="4" t="s">
        <v>105</v>
      </c>
      <c r="D28" s="4">
        <f>COUNTIFS('[1]2_Sequences'!$G$2:$G$323,A28,'[1]2_Sequences'!$I$2:$I$323,"Gene-level")</f>
        <v>2</v>
      </c>
      <c r="E28" s="4" t="s">
        <v>649</v>
      </c>
      <c r="F28" s="5"/>
      <c r="G28" s="5"/>
      <c r="H28" s="5"/>
      <c r="I28" s="5"/>
      <c r="J28" s="5"/>
    </row>
    <row r="29" spans="1:10" x14ac:dyDescent="0.2">
      <c r="A29" s="4" t="s">
        <v>650</v>
      </c>
      <c r="B29" s="4" t="str">
        <f t="shared" si="0"/>
        <v>Rice</v>
      </c>
      <c r="C29" s="4" t="s">
        <v>20</v>
      </c>
      <c r="D29" s="4">
        <f>COUNTIFS('[1]2_Sequences'!$G$2:$G$323,A29,'[1]2_Sequences'!$I$2:$I$323,"Gene-level")</f>
        <v>1</v>
      </c>
      <c r="E29" s="4" t="s">
        <v>651</v>
      </c>
      <c r="F29" s="5"/>
      <c r="G29" s="5"/>
      <c r="H29" s="5"/>
      <c r="I29" s="5"/>
      <c r="J29" s="5"/>
    </row>
    <row r="30" spans="1:10" x14ac:dyDescent="0.2">
      <c r="A30" s="4" t="s">
        <v>652</v>
      </c>
      <c r="B30" s="4" t="str">
        <f t="shared" si="0"/>
        <v>Rice</v>
      </c>
      <c r="C30" s="4" t="s">
        <v>39</v>
      </c>
      <c r="D30" s="4">
        <f>COUNTIFS('[1]2_Sequences'!$G$2:$G$323,A30,'[1]2_Sequences'!$I$2:$I$323,"Gene-level")</f>
        <v>1</v>
      </c>
      <c r="E30" s="4" t="s">
        <v>653</v>
      </c>
      <c r="F30" s="5"/>
      <c r="G30" s="5"/>
      <c r="H30" s="5"/>
      <c r="I30" s="5"/>
      <c r="J30" s="5"/>
    </row>
    <row r="31" spans="1:10" x14ac:dyDescent="0.2">
      <c r="A31" s="4" t="s">
        <v>654</v>
      </c>
      <c r="B31" s="4" t="str">
        <f t="shared" si="0"/>
        <v>Rice</v>
      </c>
      <c r="C31" s="4" t="s">
        <v>8</v>
      </c>
      <c r="D31" s="4">
        <f>COUNTIFS('[1]2_Sequences'!$G$2:$G$323,A31,'[1]2_Sequences'!$I$2:$I$323,"Gene-level")</f>
        <v>1</v>
      </c>
      <c r="E31" s="4" t="s">
        <v>655</v>
      </c>
      <c r="F31" s="5"/>
      <c r="G31" s="5"/>
      <c r="H31" s="5"/>
      <c r="I31" s="5"/>
      <c r="J31" s="5"/>
    </row>
    <row r="32" spans="1:10" x14ac:dyDescent="0.2">
      <c r="A32" s="4" t="s">
        <v>656</v>
      </c>
      <c r="B32" s="4" t="str">
        <f t="shared" si="0"/>
        <v>Rice</v>
      </c>
      <c r="C32" s="4" t="s">
        <v>77</v>
      </c>
      <c r="D32" s="4">
        <f>COUNTIFS('[1]2_Sequences'!$G$2:$G$323,A32,'[1]2_Sequences'!$I$2:$I$323,"Gene-level")</f>
        <v>1</v>
      </c>
      <c r="E32" s="4" t="s">
        <v>657</v>
      </c>
      <c r="F32" s="5"/>
      <c r="G32" s="5"/>
      <c r="H32" s="5"/>
      <c r="I32" s="5"/>
      <c r="J32" s="5"/>
    </row>
    <row r="33" spans="1:10" x14ac:dyDescent="0.2">
      <c r="A33" s="4" t="s">
        <v>658</v>
      </c>
      <c r="B33" s="4" t="str">
        <f t="shared" si="0"/>
        <v>Rice</v>
      </c>
      <c r="C33" s="4" t="s">
        <v>74</v>
      </c>
      <c r="D33" s="4">
        <f>COUNTIFS('[1]2_Sequences'!$G$2:$G$323,A33,'[1]2_Sequences'!$I$2:$I$323,"Gene-level")</f>
        <v>1</v>
      </c>
      <c r="E33" s="4" t="s">
        <v>659</v>
      </c>
      <c r="F33" s="5"/>
      <c r="G33" s="4">
        <v>11</v>
      </c>
      <c r="H33" s="4" t="s">
        <v>660</v>
      </c>
      <c r="I33" s="4" t="s">
        <v>661</v>
      </c>
      <c r="J33" s="4" t="s">
        <v>662</v>
      </c>
    </row>
    <row r="34" spans="1:10" x14ac:dyDescent="0.2">
      <c r="A34" s="4" t="s">
        <v>663</v>
      </c>
      <c r="B34" s="4" t="str">
        <f t="shared" si="0"/>
        <v>Rice</v>
      </c>
      <c r="C34" s="4" t="s">
        <v>74</v>
      </c>
      <c r="D34" s="4">
        <f>COUNTIFS('[1]2_Sequences'!$G$2:$G$323,A34,'[1]2_Sequences'!$I$2:$I$323,"Gene-level")</f>
        <v>2</v>
      </c>
      <c r="E34" s="4" t="s">
        <v>664</v>
      </c>
      <c r="F34" s="5"/>
      <c r="G34" s="5"/>
      <c r="H34" s="5"/>
      <c r="I34" s="5"/>
      <c r="J34" s="5"/>
    </row>
    <row r="35" spans="1:10" x14ac:dyDescent="0.2">
      <c r="A35" s="4" t="s">
        <v>665</v>
      </c>
      <c r="B35" s="4" t="str">
        <f t="shared" si="0"/>
        <v>Rice</v>
      </c>
      <c r="C35" s="4" t="s">
        <v>105</v>
      </c>
      <c r="D35" s="4">
        <f>COUNTIFS('[1]2_Sequences'!$G$2:$G$323,A35,'[1]2_Sequences'!$I$2:$I$323,"Gene-level")</f>
        <v>2</v>
      </c>
      <c r="E35" s="4"/>
      <c r="F35" s="5"/>
      <c r="G35" s="5"/>
      <c r="H35" s="5"/>
      <c r="I35" s="5"/>
      <c r="J35" s="5"/>
    </row>
    <row r="36" spans="1:10" x14ac:dyDescent="0.2">
      <c r="A36" s="4" t="s">
        <v>667</v>
      </c>
      <c r="B36" s="4" t="str">
        <f t="shared" si="0"/>
        <v>Rice</v>
      </c>
      <c r="C36" s="4" t="s">
        <v>20</v>
      </c>
      <c r="D36" s="4">
        <f>COUNTIFS('[1]2_Sequences'!$G$2:$G$323,A36,'[1]2_Sequences'!$I$2:$I$323,"Gene-level")</f>
        <v>1</v>
      </c>
      <c r="E36" s="4"/>
      <c r="F36" s="5"/>
      <c r="G36" s="5"/>
      <c r="H36" s="5"/>
      <c r="I36" s="5"/>
      <c r="J36" s="5"/>
    </row>
    <row r="37" spans="1:10" x14ac:dyDescent="0.2">
      <c r="A37" s="4" t="s">
        <v>668</v>
      </c>
      <c r="B37" s="4" t="str">
        <f t="shared" si="0"/>
        <v>Rice</v>
      </c>
      <c r="C37" s="4" t="s">
        <v>39</v>
      </c>
      <c r="D37" s="4">
        <f>COUNTIFS('[1]2_Sequences'!$G$2:$G$323,A37,'[1]2_Sequences'!$I$2:$I$323,"Gene-level")</f>
        <v>1</v>
      </c>
      <c r="E37" s="4"/>
      <c r="F37" s="5"/>
      <c r="G37" s="5"/>
      <c r="H37" s="5"/>
      <c r="I37" s="5"/>
      <c r="J37" s="5"/>
    </row>
    <row r="38" spans="1:10" x14ac:dyDescent="0.2">
      <c r="A38" s="4" t="s">
        <v>669</v>
      </c>
      <c r="B38" s="4" t="str">
        <f t="shared" si="0"/>
        <v>Rice</v>
      </c>
      <c r="C38" s="4" t="s">
        <v>8</v>
      </c>
      <c r="D38" s="4">
        <f>COUNTIFS('[1]2_Sequences'!$G$2:$G$323,A38,'[1]2_Sequences'!$I$2:$I$323,"Gene-level")</f>
        <v>1</v>
      </c>
      <c r="E38" s="4"/>
      <c r="F38" s="5"/>
      <c r="G38" s="5"/>
      <c r="H38" s="5"/>
      <c r="I38" s="5"/>
      <c r="J38" s="5"/>
    </row>
    <row r="39" spans="1:10" x14ac:dyDescent="0.2">
      <c r="A39" s="4" t="s">
        <v>670</v>
      </c>
      <c r="B39" s="4" t="str">
        <f t="shared" si="0"/>
        <v>Rice</v>
      </c>
      <c r="C39" s="4" t="s">
        <v>77</v>
      </c>
      <c r="D39" s="4">
        <f>COUNTIFS('[1]2_Sequences'!$G$2:$G$323,A39,'[1]2_Sequences'!$I$2:$I$323,"Gene-level")</f>
        <v>1</v>
      </c>
      <c r="E39" s="4"/>
      <c r="F39" s="5"/>
      <c r="G39" s="5"/>
      <c r="H39" s="5"/>
      <c r="I39" s="5"/>
      <c r="J39" s="5"/>
    </row>
    <row r="40" spans="1:10" x14ac:dyDescent="0.2">
      <c r="A40" s="4" t="s">
        <v>671</v>
      </c>
      <c r="B40" s="4" t="str">
        <f t="shared" si="0"/>
        <v>Rice</v>
      </c>
      <c r="C40" s="4" t="s">
        <v>81</v>
      </c>
      <c r="D40" s="4">
        <f>COUNTIFS('[1]2_Sequences'!$G$2:$G$323,A40,'[1]2_Sequences'!$I$2:$I$323,"Gene-level")</f>
        <v>1</v>
      </c>
      <c r="E40" s="4"/>
      <c r="F40" s="5"/>
      <c r="G40" s="5"/>
      <c r="H40" s="5"/>
      <c r="I40" s="5"/>
      <c r="J40" s="5"/>
    </row>
    <row r="41" spans="1:10" x14ac:dyDescent="0.2">
      <c r="A41" s="4" t="s">
        <v>672</v>
      </c>
      <c r="B41" s="4" t="str">
        <f t="shared" si="0"/>
        <v>Rice</v>
      </c>
      <c r="C41" s="4" t="s">
        <v>81</v>
      </c>
      <c r="D41" s="4">
        <f>COUNTIFS('[1]2_Sequences'!$G$2:$G$323,A41,'[1]2_Sequences'!$I$2:$I$323,"Gene-level")</f>
        <v>1</v>
      </c>
      <c r="E41" s="4"/>
      <c r="F41" s="5"/>
      <c r="G41" s="5"/>
      <c r="H41" s="5"/>
      <c r="I41" s="5"/>
      <c r="J41" s="5"/>
    </row>
    <row r="42" spans="1:10" x14ac:dyDescent="0.2">
      <c r="A42" s="4" t="s">
        <v>673</v>
      </c>
      <c r="B42" s="4" t="str">
        <f t="shared" si="0"/>
        <v>Sorghum</v>
      </c>
      <c r="C42" s="4" t="s">
        <v>77</v>
      </c>
      <c r="D42" s="4">
        <f>COUNTIFS('[1]2_Sequences'!$G$2:$G$323,A42,'[1]2_Sequences'!$I$2:$I$323,"Gene-level")</f>
        <v>1</v>
      </c>
      <c r="E42" s="4" t="s">
        <v>674</v>
      </c>
      <c r="F42" s="4" t="s">
        <v>675</v>
      </c>
      <c r="G42" s="4">
        <v>5</v>
      </c>
      <c r="H42" s="4" t="s">
        <v>660</v>
      </c>
      <c r="I42" s="4" t="s">
        <v>676</v>
      </c>
      <c r="J42" s="4" t="s">
        <v>677</v>
      </c>
    </row>
    <row r="43" spans="1:10" x14ac:dyDescent="0.2">
      <c r="A43" s="4" t="s">
        <v>678</v>
      </c>
      <c r="B43" s="4" t="str">
        <f t="shared" si="0"/>
        <v>Sorghum</v>
      </c>
      <c r="C43" s="4" t="s">
        <v>77</v>
      </c>
      <c r="D43" s="4">
        <f>COUNTIFS('[1]2_Sequences'!$G$2:$G$323,A43,'[1]2_Sequences'!$I$2:$I$323,"Gene-level")</f>
        <v>1</v>
      </c>
      <c r="E43" s="6" t="s">
        <v>679</v>
      </c>
      <c r="F43" s="4"/>
      <c r="G43" s="4">
        <v>5</v>
      </c>
      <c r="H43" s="4" t="s">
        <v>680</v>
      </c>
      <c r="I43" s="4" t="s">
        <v>681</v>
      </c>
      <c r="J43" s="4" t="s">
        <v>677</v>
      </c>
    </row>
    <row r="44" spans="1:10" x14ac:dyDescent="0.2">
      <c r="A44" s="4" t="s">
        <v>682</v>
      </c>
      <c r="B44" s="4" t="str">
        <f t="shared" si="0"/>
        <v>Sorghum</v>
      </c>
      <c r="C44" s="4" t="s">
        <v>8</v>
      </c>
      <c r="D44" s="4">
        <f>COUNTIFS('[1]2_Sequences'!$G$2:$G$323,A44,'[1]2_Sequences'!$I$2:$I$323,"Gene-level")</f>
        <v>5</v>
      </c>
      <c r="E44" s="6" t="s">
        <v>683</v>
      </c>
      <c r="F44" s="4"/>
      <c r="G44" s="4">
        <v>5</v>
      </c>
      <c r="H44" s="4" t="s">
        <v>680</v>
      </c>
      <c r="I44" s="4" t="s">
        <v>684</v>
      </c>
      <c r="J44" s="4" t="s">
        <v>677</v>
      </c>
    </row>
    <row r="45" spans="1:10" x14ac:dyDescent="0.2">
      <c r="A45" s="4" t="s">
        <v>685</v>
      </c>
      <c r="B45" s="4" t="str">
        <f t="shared" si="0"/>
        <v>Sorghum</v>
      </c>
      <c r="C45" s="4" t="s">
        <v>39</v>
      </c>
      <c r="D45" s="4">
        <f>COUNTIFS('[1]2_Sequences'!$G$2:$G$323,A45,'[1]2_Sequences'!$I$2:$I$323,"Gene-level")</f>
        <v>2</v>
      </c>
      <c r="E45" s="6" t="s">
        <v>686</v>
      </c>
      <c r="F45" s="4"/>
      <c r="G45" s="4">
        <v>5</v>
      </c>
      <c r="H45" s="4" t="s">
        <v>680</v>
      </c>
      <c r="I45" s="4" t="s">
        <v>687</v>
      </c>
      <c r="J45" s="4" t="s">
        <v>677</v>
      </c>
    </row>
    <row r="46" spans="1:10" x14ac:dyDescent="0.2">
      <c r="A46" s="4" t="s">
        <v>688</v>
      </c>
      <c r="B46" s="4" t="str">
        <f t="shared" si="0"/>
        <v>Sorghum</v>
      </c>
      <c r="C46" s="4" t="s">
        <v>20</v>
      </c>
      <c r="D46" s="4">
        <f>COUNTIFS('[1]2_Sequences'!$G$2:$G$323,A46,'[1]2_Sequences'!$I$2:$I$323,"Gene-level")</f>
        <v>1</v>
      </c>
      <c r="E46" s="6" t="s">
        <v>689</v>
      </c>
      <c r="F46" s="4"/>
      <c r="G46" s="4">
        <v>5</v>
      </c>
      <c r="H46" s="4" t="s">
        <v>680</v>
      </c>
      <c r="I46" s="4" t="s">
        <v>690</v>
      </c>
      <c r="J46" s="4" t="s">
        <v>677</v>
      </c>
    </row>
    <row r="47" spans="1:10" x14ac:dyDescent="0.2">
      <c r="A47" s="4" t="s">
        <v>691</v>
      </c>
      <c r="B47" s="4" t="str">
        <f t="shared" si="0"/>
        <v>Sorghum</v>
      </c>
      <c r="C47" s="4" t="s">
        <v>39</v>
      </c>
      <c r="D47" s="4">
        <f>COUNTIFS('[1]2_Sequences'!$G$2:$G$323,A47,'[1]2_Sequences'!$I$2:$I$323,"Gene-level")</f>
        <v>2</v>
      </c>
      <c r="E47" s="4" t="s">
        <v>666</v>
      </c>
      <c r="F47" s="4"/>
      <c r="G47" s="4">
        <v>8</v>
      </c>
      <c r="H47" s="4" t="s">
        <v>680</v>
      </c>
      <c r="I47" s="4" t="s">
        <v>692</v>
      </c>
      <c r="J47" s="4" t="s">
        <v>677</v>
      </c>
    </row>
    <row r="48" spans="1:10" x14ac:dyDescent="0.2">
      <c r="A48" s="4" t="s">
        <v>693</v>
      </c>
      <c r="B48" s="4" t="str">
        <f t="shared" si="0"/>
        <v>Sorghum</v>
      </c>
      <c r="C48" s="4" t="s">
        <v>20</v>
      </c>
      <c r="D48" s="4">
        <f>COUNTIFS('[1]2_Sequences'!$G$2:$G$323,A48,'[1]2_Sequences'!$I$2:$I$323,"Gene-level")</f>
        <v>1</v>
      </c>
      <c r="E48" s="4" t="s">
        <v>694</v>
      </c>
      <c r="F48" s="4" t="s">
        <v>675</v>
      </c>
      <c r="G48" s="4">
        <v>8</v>
      </c>
      <c r="H48" s="4" t="s">
        <v>660</v>
      </c>
      <c r="I48" s="4" t="s">
        <v>695</v>
      </c>
      <c r="J48" s="4" t="s">
        <v>677</v>
      </c>
    </row>
    <row r="49" spans="1:10" x14ac:dyDescent="0.2">
      <c r="A49" s="4" t="s">
        <v>696</v>
      </c>
      <c r="B49" s="4" t="str">
        <f t="shared" si="0"/>
        <v>Sorghum</v>
      </c>
      <c r="C49" s="4" t="s">
        <v>39</v>
      </c>
      <c r="D49" s="4">
        <f>COUNTIFS('[1]2_Sequences'!$G$2:$G$323,A49,'[1]2_Sequences'!$I$2:$I$323,"Gene-level")</f>
        <v>2</v>
      </c>
      <c r="E49" s="4" t="s">
        <v>666</v>
      </c>
      <c r="F49" s="4"/>
      <c r="G49" s="4">
        <v>8</v>
      </c>
      <c r="H49" s="4" t="s">
        <v>680</v>
      </c>
      <c r="I49" s="4" t="s">
        <v>697</v>
      </c>
      <c r="J49" s="4" t="s">
        <v>677</v>
      </c>
    </row>
    <row r="50" spans="1:10" x14ac:dyDescent="0.2">
      <c r="A50" s="4" t="s">
        <v>698</v>
      </c>
      <c r="B50" s="4" t="str">
        <f t="shared" si="0"/>
        <v>Sorghum</v>
      </c>
      <c r="C50" s="4" t="s">
        <v>8</v>
      </c>
      <c r="D50" s="4">
        <f>COUNTIFS('[1]2_Sequences'!$G$2:$G$323,A50,'[1]2_Sequences'!$I$2:$I$323,"Gene-level")</f>
        <v>2</v>
      </c>
      <c r="E50" s="4" t="s">
        <v>666</v>
      </c>
      <c r="F50" s="4"/>
      <c r="G50" s="4">
        <v>8</v>
      </c>
      <c r="H50" s="4" t="s">
        <v>680</v>
      </c>
      <c r="I50" s="4" t="s">
        <v>699</v>
      </c>
      <c r="J50" s="4" t="s">
        <v>677</v>
      </c>
    </row>
    <row r="51" spans="1:10" x14ac:dyDescent="0.2">
      <c r="A51" s="4" t="s">
        <v>700</v>
      </c>
      <c r="B51" s="4" t="str">
        <f t="shared" si="0"/>
        <v>Sorghum</v>
      </c>
      <c r="C51" s="4" t="s">
        <v>27</v>
      </c>
      <c r="D51" s="4">
        <f>COUNTIFS('[1]2_Sequences'!$G$2:$G$323,A51,'[1]2_Sequences'!$I$2:$I$323,"Gene-level")</f>
        <v>1</v>
      </c>
      <c r="E51" s="4" t="s">
        <v>666</v>
      </c>
      <c r="F51" s="4"/>
      <c r="G51" s="4">
        <v>10</v>
      </c>
      <c r="H51" s="4" t="s">
        <v>601</v>
      </c>
      <c r="I51" s="4" t="s">
        <v>701</v>
      </c>
      <c r="J51" s="4" t="s">
        <v>677</v>
      </c>
    </row>
    <row r="52" spans="1:10" x14ac:dyDescent="0.2">
      <c r="A52" s="4" t="s">
        <v>702</v>
      </c>
      <c r="B52" s="4" t="str">
        <f t="shared" si="0"/>
        <v>Sorghum</v>
      </c>
      <c r="C52" s="4" t="s">
        <v>27</v>
      </c>
      <c r="D52" s="4">
        <f>COUNTIFS('[1]2_Sequences'!$G$2:$G$323,A52,'[1]2_Sequences'!$I$2:$I$323,"Gene-level")</f>
        <v>1</v>
      </c>
      <c r="E52" s="4" t="s">
        <v>666</v>
      </c>
      <c r="F52" s="4"/>
      <c r="G52" s="4">
        <v>10</v>
      </c>
      <c r="H52" s="4" t="s">
        <v>601</v>
      </c>
      <c r="I52" s="4" t="s">
        <v>701</v>
      </c>
      <c r="J52" s="4" t="s">
        <v>677</v>
      </c>
    </row>
    <row r="53" spans="1:10" x14ac:dyDescent="0.2">
      <c r="A53" s="4" t="s">
        <v>490</v>
      </c>
      <c r="B53" s="4" t="str">
        <f t="shared" si="0"/>
        <v>Maize</v>
      </c>
      <c r="C53" s="4" t="s">
        <v>116</v>
      </c>
      <c r="D53" s="4">
        <f>COUNTIFS('[1]2_Sequences'!$G$2:$G$323,A53,'[1]2_Sequences'!$I$2:$I$323,"Gene-level")</f>
        <v>1</v>
      </c>
      <c r="E53" s="4" t="s">
        <v>703</v>
      </c>
      <c r="F53" s="4" t="s">
        <v>704</v>
      </c>
      <c r="G53" s="4">
        <v>3</v>
      </c>
      <c r="H53" s="4" t="s">
        <v>660</v>
      </c>
      <c r="I53" s="4" t="s">
        <v>705</v>
      </c>
      <c r="J53" s="4" t="s">
        <v>706</v>
      </c>
    </row>
    <row r="54" spans="1:10" x14ac:dyDescent="0.2">
      <c r="A54" s="4" t="s">
        <v>516</v>
      </c>
      <c r="B54" s="4" t="str">
        <f t="shared" si="0"/>
        <v>Maize</v>
      </c>
      <c r="C54" s="4" t="s">
        <v>168</v>
      </c>
      <c r="D54" s="4">
        <f>COUNTIFS('[1]2_Sequences'!$G$2:$G$323,A54,'[1]2_Sequences'!$I$2:$I$323,"Gene-level")</f>
        <v>1</v>
      </c>
      <c r="E54" s="4" t="s">
        <v>707</v>
      </c>
      <c r="F54" s="4" t="s">
        <v>675</v>
      </c>
      <c r="G54" s="4">
        <v>4</v>
      </c>
      <c r="H54" s="4" t="s">
        <v>660</v>
      </c>
      <c r="I54" s="4" t="s">
        <v>705</v>
      </c>
      <c r="J54" s="4" t="s">
        <v>706</v>
      </c>
    </row>
    <row r="55" spans="1:10" x14ac:dyDescent="0.2">
      <c r="A55" s="4" t="s">
        <v>708</v>
      </c>
      <c r="B55" s="4" t="str">
        <f t="shared" si="0"/>
        <v>Maize</v>
      </c>
      <c r="C55" s="4" t="s">
        <v>144</v>
      </c>
      <c r="D55" s="4">
        <f>COUNTIFS('[1]2_Sequences'!$G$2:$G$323,A55,'[1]2_Sequences'!$I$2:$I$323,"Gene-level")</f>
        <v>1</v>
      </c>
      <c r="E55" s="4" t="s">
        <v>709</v>
      </c>
      <c r="F55" s="4" t="s">
        <v>710</v>
      </c>
      <c r="G55" s="4">
        <v>8</v>
      </c>
      <c r="H55" s="4" t="s">
        <v>660</v>
      </c>
      <c r="I55" s="4" t="s">
        <v>705</v>
      </c>
      <c r="J55" s="4" t="s">
        <v>706</v>
      </c>
    </row>
    <row r="56" spans="1:10" x14ac:dyDescent="0.2">
      <c r="A56" s="4" t="s">
        <v>711</v>
      </c>
      <c r="B56" s="4" t="str">
        <f t="shared" si="0"/>
        <v>Maize</v>
      </c>
      <c r="C56" s="4" t="s">
        <v>35</v>
      </c>
      <c r="D56" s="4">
        <f>COUNTIFS('[1]2_Sequences'!$G$2:$G$323,A56,'[1]2_Sequences'!$I$2:$I$323,"Gene-level")</f>
        <v>3</v>
      </c>
      <c r="E56" s="4" t="s">
        <v>712</v>
      </c>
      <c r="F56" s="4" t="s">
        <v>713</v>
      </c>
      <c r="G56" s="4">
        <v>6</v>
      </c>
      <c r="H56" s="4" t="s">
        <v>660</v>
      </c>
      <c r="I56" s="4" t="s">
        <v>714</v>
      </c>
      <c r="J56" s="4" t="s">
        <v>715</v>
      </c>
    </row>
    <row r="57" spans="1:10" x14ac:dyDescent="0.2">
      <c r="A57" s="4" t="s">
        <v>716</v>
      </c>
      <c r="B57" s="4" t="str">
        <f t="shared" si="0"/>
        <v>Maize</v>
      </c>
      <c r="C57" s="4" t="s">
        <v>93</v>
      </c>
      <c r="D57" s="4">
        <f>COUNTIFS('[1]2_Sequences'!$G$2:$G$323,A57,'[1]2_Sequences'!$I$2:$I$323,"Gene-level")</f>
        <v>2</v>
      </c>
      <c r="E57" s="4" t="s">
        <v>717</v>
      </c>
      <c r="F57" s="4" t="s">
        <v>718</v>
      </c>
      <c r="G57" s="4">
        <v>1</v>
      </c>
      <c r="H57" s="4" t="s">
        <v>660</v>
      </c>
      <c r="I57" s="4" t="s">
        <v>705</v>
      </c>
      <c r="J57" s="4" t="s">
        <v>706</v>
      </c>
    </row>
    <row r="58" spans="1:10" x14ac:dyDescent="0.2">
      <c r="A58" s="4" t="s">
        <v>719</v>
      </c>
      <c r="B58" s="4" t="str">
        <f t="shared" si="0"/>
        <v>Maize</v>
      </c>
      <c r="C58" s="4" t="s">
        <v>70</v>
      </c>
      <c r="D58" s="4">
        <f>COUNTIFS('[1]2_Sequences'!$G$2:$G$323,A58,'[1]2_Sequences'!$I$2:$I$323,"Gene-level")</f>
        <v>2</v>
      </c>
      <c r="E58" s="4" t="s">
        <v>720</v>
      </c>
      <c r="F58" s="4" t="s">
        <v>675</v>
      </c>
      <c r="G58" s="4">
        <v>7</v>
      </c>
      <c r="H58" s="4" t="s">
        <v>660</v>
      </c>
      <c r="I58" s="4" t="s">
        <v>705</v>
      </c>
      <c r="J58" s="4" t="s">
        <v>706</v>
      </c>
    </row>
    <row r="59" spans="1:10" x14ac:dyDescent="0.2">
      <c r="A59" s="4" t="s">
        <v>721</v>
      </c>
      <c r="B59" s="4" t="str">
        <f t="shared" si="0"/>
        <v>Maize</v>
      </c>
      <c r="C59" s="4" t="s">
        <v>62</v>
      </c>
      <c r="D59" s="4">
        <f>COUNTIFS('[1]2_Sequences'!$G$2:$G$323,A59,'[1]2_Sequences'!$I$2:$I$323,"Gene-level")</f>
        <v>1</v>
      </c>
      <c r="E59" s="4" t="s">
        <v>722</v>
      </c>
      <c r="F59" s="4" t="s">
        <v>713</v>
      </c>
      <c r="G59" s="4">
        <v>10</v>
      </c>
      <c r="H59" s="4" t="s">
        <v>660</v>
      </c>
      <c r="I59" s="4" t="s">
        <v>705</v>
      </c>
      <c r="J59" s="4" t="s">
        <v>706</v>
      </c>
    </row>
    <row r="60" spans="1:10" x14ac:dyDescent="0.2">
      <c r="A60" s="4" t="s">
        <v>723</v>
      </c>
      <c r="B60" s="4" t="str">
        <f t="shared" si="0"/>
        <v>Maize</v>
      </c>
      <c r="C60" s="4" t="s">
        <v>160</v>
      </c>
      <c r="D60" s="4">
        <f>COUNTIFS('[1]2_Sequences'!$G$2:$G$323,A60,'[1]2_Sequences'!$I$2:$I$323,"Gene-level")</f>
        <v>1</v>
      </c>
      <c r="E60" s="4" t="s">
        <v>724</v>
      </c>
      <c r="F60" s="4" t="s">
        <v>704</v>
      </c>
      <c r="G60" s="4">
        <v>4</v>
      </c>
      <c r="H60" s="4" t="s">
        <v>660</v>
      </c>
      <c r="I60" s="4" t="s">
        <v>705</v>
      </c>
      <c r="J60" s="4" t="s">
        <v>706</v>
      </c>
    </row>
    <row r="61" spans="1:10" x14ac:dyDescent="0.2">
      <c r="A61" s="4" t="s">
        <v>725</v>
      </c>
      <c r="B61" s="4" t="str">
        <f t="shared" si="0"/>
        <v>Maize</v>
      </c>
      <c r="C61" s="4" t="s">
        <v>31</v>
      </c>
      <c r="D61" s="4">
        <f>COUNTIFS('[1]2_Sequences'!$G$2:$G$323,A61,'[1]2_Sequences'!$I$2:$I$323,"Gene-level")</f>
        <v>1</v>
      </c>
      <c r="E61" s="4" t="s">
        <v>726</v>
      </c>
      <c r="F61" s="4" t="s">
        <v>704</v>
      </c>
      <c r="G61" s="4">
        <v>8</v>
      </c>
      <c r="H61" s="4" t="s">
        <v>660</v>
      </c>
      <c r="I61" s="4" t="s">
        <v>705</v>
      </c>
      <c r="J61" s="4" t="s">
        <v>706</v>
      </c>
    </row>
    <row r="62" spans="1:10" x14ac:dyDescent="0.2">
      <c r="A62" s="4" t="s">
        <v>727</v>
      </c>
      <c r="B62" s="4" t="str">
        <f t="shared" si="0"/>
        <v>Maize</v>
      </c>
      <c r="C62" s="4" t="s">
        <v>70</v>
      </c>
      <c r="D62" s="4">
        <f>COUNTIFS('[1]2_Sequences'!$G$2:$G$323,A62,'[1]2_Sequences'!$I$2:$I$323,"Gene-level")</f>
        <v>2</v>
      </c>
      <c r="E62" s="4" t="s">
        <v>728</v>
      </c>
      <c r="F62" s="4" t="s">
        <v>675</v>
      </c>
      <c r="G62" s="4">
        <v>8</v>
      </c>
      <c r="H62" s="4" t="s">
        <v>660</v>
      </c>
      <c r="I62" s="4" t="s">
        <v>705</v>
      </c>
      <c r="J62" s="4" t="s">
        <v>706</v>
      </c>
    </row>
    <row r="63" spans="1:10" x14ac:dyDescent="0.2">
      <c r="A63" s="4" t="s">
        <v>729</v>
      </c>
      <c r="B63" s="4" t="str">
        <f t="shared" si="0"/>
        <v>Maize</v>
      </c>
      <c r="C63" s="4" t="s">
        <v>112</v>
      </c>
      <c r="D63" s="4">
        <f>COUNTIFS('[1]2_Sequences'!$G$2:$G$323,A63,'[1]2_Sequences'!$I$2:$I$323,"Gene-level")</f>
        <v>1</v>
      </c>
      <c r="E63" s="4" t="s">
        <v>730</v>
      </c>
      <c r="F63" s="4" t="s">
        <v>731</v>
      </c>
      <c r="G63" s="4">
        <v>8</v>
      </c>
      <c r="H63" s="4" t="s">
        <v>660</v>
      </c>
      <c r="I63" s="4" t="s">
        <v>732</v>
      </c>
      <c r="J63" s="4" t="s">
        <v>733</v>
      </c>
    </row>
    <row r="64" spans="1:10" x14ac:dyDescent="0.2">
      <c r="A64" s="4" t="s">
        <v>734</v>
      </c>
      <c r="B64" s="4" t="str">
        <f t="shared" si="0"/>
        <v>Maize</v>
      </c>
      <c r="C64" s="4" t="s">
        <v>16</v>
      </c>
      <c r="D64" s="4">
        <f>COUNTIFS('[1]2_Sequences'!$G$2:$G$323,A64,'[1]2_Sequences'!$I$2:$I$323,"Gene-level")</f>
        <v>1</v>
      </c>
      <c r="E64" s="4" t="s">
        <v>735</v>
      </c>
      <c r="F64" s="4" t="s">
        <v>718</v>
      </c>
      <c r="G64" s="4">
        <v>10</v>
      </c>
      <c r="H64" s="4" t="s">
        <v>660</v>
      </c>
      <c r="I64" s="4" t="s">
        <v>736</v>
      </c>
      <c r="J64" s="4" t="s">
        <v>737</v>
      </c>
    </row>
    <row r="65" spans="1:10" x14ac:dyDescent="0.2">
      <c r="A65" s="4" t="s">
        <v>738</v>
      </c>
      <c r="B65" s="4" t="str">
        <f t="shared" si="0"/>
        <v>Maize</v>
      </c>
      <c r="C65" s="4" t="s">
        <v>77</v>
      </c>
      <c r="D65" s="4">
        <f>COUNTIFS('[1]2_Sequences'!$G$2:$G$323,A65,'[1]2_Sequences'!$I$2:$I$323,"Gene-level")</f>
        <v>1</v>
      </c>
      <c r="E65" s="4" t="s">
        <v>739</v>
      </c>
      <c r="F65" s="4" t="s">
        <v>675</v>
      </c>
      <c r="G65" s="4">
        <v>2</v>
      </c>
      <c r="H65" s="4" t="s">
        <v>660</v>
      </c>
      <c r="I65" s="4" t="s">
        <v>705</v>
      </c>
      <c r="J65" s="4" t="s">
        <v>706</v>
      </c>
    </row>
    <row r="66" spans="1:10" x14ac:dyDescent="0.2">
      <c r="A66" s="4" t="s">
        <v>740</v>
      </c>
      <c r="B66" s="4" t="str">
        <f t="shared" si="0"/>
        <v>Maize</v>
      </c>
      <c r="C66" s="4" t="s">
        <v>12</v>
      </c>
      <c r="D66" s="4">
        <f>COUNTIFS('[1]2_Sequences'!$G$2:$G$323,A66,'[1]2_Sequences'!$I$2:$I$323,"Gene-level")</f>
        <v>1</v>
      </c>
      <c r="E66" s="4" t="s">
        <v>741</v>
      </c>
      <c r="F66" s="4" t="s">
        <v>710</v>
      </c>
      <c r="G66" s="4">
        <v>3</v>
      </c>
      <c r="H66" s="4" t="s">
        <v>660</v>
      </c>
      <c r="I66" s="4" t="s">
        <v>705</v>
      </c>
      <c r="J66" s="4" t="s">
        <v>706</v>
      </c>
    </row>
    <row r="67" spans="1:10" x14ac:dyDescent="0.2">
      <c r="A67" s="4" t="s">
        <v>742</v>
      </c>
      <c r="B67" s="4" t="str">
        <f t="shared" si="0"/>
        <v>Maize</v>
      </c>
      <c r="C67" s="4" t="s">
        <v>160</v>
      </c>
      <c r="D67" s="4">
        <f>COUNTIFS('[1]2_Sequences'!$G$2:$G$323,A67,'[1]2_Sequences'!$I$2:$I$323,"Gene-level")</f>
        <v>1</v>
      </c>
      <c r="E67" s="4" t="s">
        <v>743</v>
      </c>
      <c r="F67" s="4" t="s">
        <v>704</v>
      </c>
      <c r="G67" s="4">
        <v>2</v>
      </c>
      <c r="H67" s="4" t="s">
        <v>660</v>
      </c>
      <c r="I67" s="4" t="s">
        <v>705</v>
      </c>
      <c r="J67" s="4" t="s">
        <v>706</v>
      </c>
    </row>
    <row r="68" spans="1:10" x14ac:dyDescent="0.2">
      <c r="A68" s="4" t="s">
        <v>744</v>
      </c>
      <c r="B68" s="4" t="str">
        <f t="shared" ref="B68:B85" si="1">IF(LEFT(A68,5)="Sobic","Sorghum",IF(LEFT(A68,8)="BGIOSGA0","Rice","Maize"))</f>
        <v>Maize</v>
      </c>
      <c r="C68" s="4" t="s">
        <v>116</v>
      </c>
      <c r="D68" s="4">
        <f>COUNTIFS('[1]2_Sequences'!$G$2:$G$323,A68,'[1]2_Sequences'!$I$2:$I$323,"Gene-level")</f>
        <v>1</v>
      </c>
      <c r="E68" s="4" t="s">
        <v>745</v>
      </c>
      <c r="F68" s="4" t="s">
        <v>704</v>
      </c>
      <c r="G68" s="4">
        <v>8</v>
      </c>
      <c r="H68" s="4" t="s">
        <v>660</v>
      </c>
      <c r="I68" s="4" t="s">
        <v>705</v>
      </c>
      <c r="J68" s="4" t="s">
        <v>706</v>
      </c>
    </row>
    <row r="69" spans="1:10" x14ac:dyDescent="0.2">
      <c r="A69" s="4" t="s">
        <v>746</v>
      </c>
      <c r="B69" s="4" t="str">
        <f t="shared" si="1"/>
        <v>Maize</v>
      </c>
      <c r="C69" s="4" t="s">
        <v>93</v>
      </c>
      <c r="D69" s="4">
        <f>COUNTIFS('[1]2_Sequences'!$G$2:$G$323,A69,'[1]2_Sequences'!$I$2:$I$323,"Gene-level")</f>
        <v>1</v>
      </c>
      <c r="E69" s="4" t="s">
        <v>747</v>
      </c>
      <c r="F69" s="4" t="s">
        <v>718</v>
      </c>
      <c r="G69" s="4">
        <v>5</v>
      </c>
      <c r="H69" s="4" t="s">
        <v>660</v>
      </c>
      <c r="I69" s="4" t="s">
        <v>748</v>
      </c>
      <c r="J69" s="4" t="s">
        <v>749</v>
      </c>
    </row>
    <row r="70" spans="1:10" x14ac:dyDescent="0.2">
      <c r="A70" s="4" t="s">
        <v>750</v>
      </c>
      <c r="B70" s="4" t="str">
        <f t="shared" si="1"/>
        <v>Maize</v>
      </c>
      <c r="C70" s="4" t="s">
        <v>16</v>
      </c>
      <c r="D70" s="4">
        <f>COUNTIFS('[1]2_Sequences'!$G$2:$G$323,A70,'[1]2_Sequences'!$I$2:$I$323,"Gene-level")</f>
        <v>1</v>
      </c>
      <c r="E70" s="4" t="s">
        <v>751</v>
      </c>
      <c r="F70" s="4" t="s">
        <v>718</v>
      </c>
      <c r="G70" s="4">
        <v>4</v>
      </c>
      <c r="H70" s="4" t="s">
        <v>660</v>
      </c>
      <c r="I70" s="4" t="s">
        <v>705</v>
      </c>
      <c r="J70" s="4" t="s">
        <v>706</v>
      </c>
    </row>
    <row r="71" spans="1:10" x14ac:dyDescent="0.2">
      <c r="A71" s="4" t="s">
        <v>752</v>
      </c>
      <c r="B71" s="4" t="str">
        <f t="shared" si="1"/>
        <v>Maize</v>
      </c>
      <c r="C71" s="4" t="s">
        <v>132</v>
      </c>
      <c r="D71" s="4">
        <f>COUNTIFS('[1]2_Sequences'!$G$2:$G$323,A71,'[1]2_Sequences'!$I$2:$I$323,"Gene-level")</f>
        <v>1</v>
      </c>
      <c r="E71" s="4" t="s">
        <v>753</v>
      </c>
      <c r="F71" s="4" t="s">
        <v>704</v>
      </c>
      <c r="G71" s="4">
        <v>1</v>
      </c>
      <c r="H71" s="4" t="s">
        <v>660</v>
      </c>
      <c r="I71" s="4" t="s">
        <v>705</v>
      </c>
      <c r="J71" s="4" t="s">
        <v>706</v>
      </c>
    </row>
    <row r="72" spans="1:10" x14ac:dyDescent="0.2">
      <c r="A72" s="4" t="s">
        <v>754</v>
      </c>
      <c r="B72" s="4" t="str">
        <f t="shared" si="1"/>
        <v>Maize</v>
      </c>
      <c r="C72" s="4" t="s">
        <v>12</v>
      </c>
      <c r="D72" s="4">
        <f>COUNTIFS('[1]2_Sequences'!$G$2:$G$323,A72,'[1]2_Sequences'!$I$2:$I$323,"Gene-level")</f>
        <v>1</v>
      </c>
      <c r="E72" s="4" t="s">
        <v>755</v>
      </c>
      <c r="F72" s="4" t="s">
        <v>710</v>
      </c>
      <c r="G72" s="4">
        <v>8</v>
      </c>
      <c r="H72" s="4" t="s">
        <v>660</v>
      </c>
      <c r="I72" s="4" t="s">
        <v>705</v>
      </c>
      <c r="J72" s="4" t="s">
        <v>706</v>
      </c>
    </row>
    <row r="73" spans="1:10" x14ac:dyDescent="0.2">
      <c r="A73" s="4" t="s">
        <v>756</v>
      </c>
      <c r="B73" s="4" t="str">
        <f t="shared" si="1"/>
        <v>Maize</v>
      </c>
      <c r="C73" s="4" t="s">
        <v>144</v>
      </c>
      <c r="D73" s="4">
        <f>COUNTIFS('[1]2_Sequences'!$G$2:$G$323,A73,'[1]2_Sequences'!$I$2:$I$323,"Gene-level")</f>
        <v>1</v>
      </c>
      <c r="E73" s="4" t="s">
        <v>757</v>
      </c>
      <c r="F73" s="4" t="s">
        <v>710</v>
      </c>
      <c r="G73" s="4">
        <v>6</v>
      </c>
      <c r="H73" s="4" t="s">
        <v>660</v>
      </c>
      <c r="I73" s="4" t="s">
        <v>705</v>
      </c>
      <c r="J73" s="4" t="s">
        <v>706</v>
      </c>
    </row>
    <row r="74" spans="1:10" x14ac:dyDescent="0.2">
      <c r="A74" s="4" t="s">
        <v>758</v>
      </c>
      <c r="B74" s="4" t="str">
        <f t="shared" si="1"/>
        <v>Maize</v>
      </c>
      <c r="C74" s="4" t="s">
        <v>132</v>
      </c>
      <c r="D74" s="4">
        <f>COUNTIFS('[1]2_Sequences'!$G$2:$G$323,A74,'[1]2_Sequences'!$I$2:$I$323,"Gene-level")</f>
        <v>1</v>
      </c>
      <c r="E74" s="4" t="s">
        <v>759</v>
      </c>
      <c r="F74" s="4" t="s">
        <v>704</v>
      </c>
      <c r="G74" s="4">
        <v>5</v>
      </c>
      <c r="H74" s="4" t="s">
        <v>660</v>
      </c>
      <c r="I74" s="4" t="s">
        <v>705</v>
      </c>
      <c r="J74" s="4" t="s">
        <v>706</v>
      </c>
    </row>
    <row r="75" spans="1:10" x14ac:dyDescent="0.2">
      <c r="A75" s="4" t="s">
        <v>760</v>
      </c>
      <c r="B75" s="4" t="str">
        <f t="shared" si="1"/>
        <v>Maize</v>
      </c>
      <c r="C75" s="4" t="s">
        <v>31</v>
      </c>
      <c r="D75" s="4">
        <f>COUNTIFS('[1]2_Sequences'!$G$2:$G$323,A75,'[1]2_Sequences'!$I$2:$I$323,"Gene-level")</f>
        <v>4</v>
      </c>
      <c r="E75" s="4" t="s">
        <v>761</v>
      </c>
      <c r="F75" s="4" t="s">
        <v>704</v>
      </c>
      <c r="G75" s="4">
        <v>6</v>
      </c>
      <c r="H75" s="4" t="s">
        <v>660</v>
      </c>
      <c r="I75" s="4" t="s">
        <v>705</v>
      </c>
      <c r="J75" s="4" t="s">
        <v>706</v>
      </c>
    </row>
    <row r="76" spans="1:10" x14ac:dyDescent="0.2">
      <c r="A76" s="4" t="s">
        <v>762</v>
      </c>
      <c r="B76" s="4" t="str">
        <f t="shared" si="1"/>
        <v>Maize</v>
      </c>
      <c r="C76" s="4" t="s">
        <v>70</v>
      </c>
      <c r="D76" s="4">
        <f>COUNTIFS('[1]2_Sequences'!$G$2:$G$323,A76,'[1]2_Sequences'!$I$2:$I$323,"Gene-level")</f>
        <v>2</v>
      </c>
      <c r="E76" s="4" t="s">
        <v>763</v>
      </c>
      <c r="F76" s="4" t="s">
        <v>675</v>
      </c>
      <c r="G76" s="4">
        <v>2</v>
      </c>
      <c r="H76" s="4" t="s">
        <v>660</v>
      </c>
      <c r="I76" s="4" t="s">
        <v>764</v>
      </c>
      <c r="J76" s="4" t="s">
        <v>765</v>
      </c>
    </row>
    <row r="77" spans="1:10" x14ac:dyDescent="0.2">
      <c r="A77" s="4" t="s">
        <v>766</v>
      </c>
      <c r="B77" s="4" t="str">
        <f t="shared" si="1"/>
        <v>Maize</v>
      </c>
      <c r="C77" s="4" t="s">
        <v>55</v>
      </c>
      <c r="D77" s="4">
        <f>COUNTIFS('[1]2_Sequences'!$G$2:$G$323,A77,'[1]2_Sequences'!$I$2:$I$323,"Gene-level")</f>
        <v>2</v>
      </c>
      <c r="E77" s="4" t="s">
        <v>767</v>
      </c>
      <c r="F77" s="4" t="s">
        <v>713</v>
      </c>
      <c r="G77" s="4">
        <v>9</v>
      </c>
      <c r="H77" s="4" t="s">
        <v>660</v>
      </c>
      <c r="I77" s="4" t="s">
        <v>705</v>
      </c>
      <c r="J77" s="4" t="s">
        <v>706</v>
      </c>
    </row>
    <row r="78" spans="1:10" x14ac:dyDescent="0.2">
      <c r="A78" s="4" t="s">
        <v>768</v>
      </c>
      <c r="B78" s="4" t="str">
        <f t="shared" si="1"/>
        <v>Maize</v>
      </c>
      <c r="C78" s="4" t="s">
        <v>112</v>
      </c>
      <c r="D78" s="4">
        <f>COUNTIFS('[1]2_Sequences'!$G$2:$G$323,A78,'[1]2_Sequences'!$I$2:$I$323,"Gene-level")</f>
        <v>1</v>
      </c>
      <c r="E78" s="4" t="s">
        <v>769</v>
      </c>
      <c r="F78" s="4" t="s">
        <v>731</v>
      </c>
      <c r="G78" s="4">
        <v>3</v>
      </c>
      <c r="H78" s="4" t="s">
        <v>660</v>
      </c>
      <c r="I78" s="4" t="s">
        <v>705</v>
      </c>
      <c r="J78" s="4" t="s">
        <v>706</v>
      </c>
    </row>
    <row r="79" spans="1:10" x14ac:dyDescent="0.2">
      <c r="A79" s="4" t="s">
        <v>770</v>
      </c>
      <c r="B79" s="4" t="str">
        <f t="shared" si="1"/>
        <v>Maize</v>
      </c>
      <c r="C79" s="4" t="s">
        <v>168</v>
      </c>
      <c r="D79" s="4">
        <f>COUNTIFS('[1]2_Sequences'!$G$2:$G$323,A79,'[1]2_Sequences'!$I$2:$I$323,"Gene-level")</f>
        <v>1</v>
      </c>
      <c r="E79" s="4" t="s">
        <v>771</v>
      </c>
      <c r="F79" s="4" t="s">
        <v>675</v>
      </c>
      <c r="G79" s="4">
        <v>1</v>
      </c>
      <c r="H79" s="4" t="s">
        <v>660</v>
      </c>
      <c r="I79" s="4" t="s">
        <v>705</v>
      </c>
      <c r="J79" s="4" t="s">
        <v>706</v>
      </c>
    </row>
    <row r="80" spans="1:10" x14ac:dyDescent="0.2">
      <c r="A80" s="4" t="s">
        <v>772</v>
      </c>
      <c r="B80" s="4" t="str">
        <f t="shared" si="1"/>
        <v>Maize</v>
      </c>
      <c r="C80" s="4" t="s">
        <v>101</v>
      </c>
      <c r="D80" s="4">
        <f>COUNTIFS('[1]2_Sequences'!$G$2:$G$323,A80,'[1]2_Sequences'!$I$2:$I$323,"Gene-level")</f>
        <v>2</v>
      </c>
      <c r="E80" s="4" t="s">
        <v>773</v>
      </c>
      <c r="F80" s="4" t="s">
        <v>731</v>
      </c>
      <c r="G80" s="4">
        <v>6</v>
      </c>
      <c r="H80" s="4" t="s">
        <v>660</v>
      </c>
      <c r="I80" s="4" t="s">
        <v>705</v>
      </c>
      <c r="J80" s="4" t="s">
        <v>706</v>
      </c>
    </row>
    <row r="81" spans="1:10" x14ac:dyDescent="0.2">
      <c r="A81" s="4" t="s">
        <v>774</v>
      </c>
      <c r="B81" s="4" t="str">
        <f t="shared" si="1"/>
        <v>Maize</v>
      </c>
      <c r="C81" s="4" t="s">
        <v>55</v>
      </c>
      <c r="D81" s="4">
        <f>COUNTIFS('[1]2_Sequences'!$G$2:$G$323,A81,'[1]2_Sequences'!$I$2:$I$323,"Gene-level")</f>
        <v>1</v>
      </c>
      <c r="E81" s="4" t="s">
        <v>775</v>
      </c>
      <c r="F81" s="4" t="s">
        <v>713</v>
      </c>
      <c r="G81" s="4">
        <v>1</v>
      </c>
      <c r="H81" s="4" t="s">
        <v>660</v>
      </c>
      <c r="I81" s="4" t="s">
        <v>705</v>
      </c>
      <c r="J81" s="4" t="s">
        <v>706</v>
      </c>
    </row>
    <row r="82" spans="1:10" x14ac:dyDescent="0.2">
      <c r="A82" s="4" t="s">
        <v>776</v>
      </c>
      <c r="B82" s="4" t="str">
        <f t="shared" si="1"/>
        <v>Maize</v>
      </c>
      <c r="C82" s="4" t="s">
        <v>101</v>
      </c>
      <c r="D82" s="4">
        <f>COUNTIFS('[1]2_Sequences'!$G$2:$G$323,A82,'[1]2_Sequences'!$I$2:$I$323,"Gene-level")</f>
        <v>1</v>
      </c>
      <c r="E82" s="4" t="s">
        <v>777</v>
      </c>
      <c r="F82" s="4" t="s">
        <v>731</v>
      </c>
      <c r="G82" s="4">
        <v>8</v>
      </c>
      <c r="H82" s="4" t="s">
        <v>660</v>
      </c>
      <c r="I82" s="4" t="s">
        <v>705</v>
      </c>
      <c r="J82" s="4" t="s">
        <v>706</v>
      </c>
    </row>
    <row r="83" spans="1:10" x14ac:dyDescent="0.2">
      <c r="A83" s="4" t="s">
        <v>778</v>
      </c>
      <c r="B83" s="4" t="str">
        <f t="shared" si="1"/>
        <v>Maize</v>
      </c>
      <c r="C83" s="4" t="s">
        <v>35</v>
      </c>
      <c r="D83" s="4">
        <f>COUNTIFS('[1]2_Sequences'!$G$2:$G$323,A83,'[1]2_Sequences'!$I$2:$I$323,"Gene-level")</f>
        <v>1</v>
      </c>
      <c r="E83" s="4" t="s">
        <v>779</v>
      </c>
      <c r="F83" s="4" t="s">
        <v>713</v>
      </c>
      <c r="G83" s="4">
        <v>8</v>
      </c>
      <c r="H83" s="4" t="s">
        <v>660</v>
      </c>
      <c r="I83" s="4" t="s">
        <v>705</v>
      </c>
      <c r="J83" s="4" t="s">
        <v>706</v>
      </c>
    </row>
    <row r="84" spans="1:10" x14ac:dyDescent="0.2">
      <c r="A84" s="4" t="s">
        <v>780</v>
      </c>
      <c r="B84" s="4" t="str">
        <f t="shared" si="1"/>
        <v>Maize</v>
      </c>
      <c r="C84" s="4" t="s">
        <v>77</v>
      </c>
      <c r="D84" s="4">
        <f>COUNTIFS('[1]2_Sequences'!$G$2:$G$323,A84,'[1]2_Sequences'!$I$2:$I$323,"Gene-level")</f>
        <v>1</v>
      </c>
      <c r="E84" s="4" t="s">
        <v>781</v>
      </c>
      <c r="F84" s="4" t="s">
        <v>675</v>
      </c>
      <c r="G84" s="4">
        <v>4</v>
      </c>
      <c r="H84" s="4" t="s">
        <v>660</v>
      </c>
      <c r="I84" s="4" t="s">
        <v>705</v>
      </c>
      <c r="J84" s="4" t="s">
        <v>706</v>
      </c>
    </row>
    <row r="85" spans="1:10" x14ac:dyDescent="0.2">
      <c r="A85" s="4" t="s">
        <v>782</v>
      </c>
      <c r="B85" s="4" t="str">
        <f t="shared" si="1"/>
        <v>Maize</v>
      </c>
      <c r="C85" s="4" t="s">
        <v>62</v>
      </c>
      <c r="D85" s="4">
        <f>COUNTIFS('[1]2_Sequences'!$G$2:$G$323,A85,'[1]2_Sequences'!$I$2:$I$323,"Gene-level")</f>
        <v>2</v>
      </c>
      <c r="E85" s="4" t="s">
        <v>783</v>
      </c>
      <c r="F85" s="4" t="s">
        <v>713</v>
      </c>
      <c r="G85" s="4">
        <v>2</v>
      </c>
      <c r="H85" s="4" t="s">
        <v>660</v>
      </c>
      <c r="I85" s="4" t="s">
        <v>705</v>
      </c>
      <c r="J85" s="4" t="s">
        <v>706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S1</vt:lpstr>
      <vt:lpstr>S2</vt:lpstr>
      <vt:lpstr>S3</vt:lpstr>
      <vt:lpstr>S4</vt:lpstr>
      <vt:lpstr>S5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Chairunnisa Nur Amanda</dc:creator>
  <cp:lastModifiedBy>Chairunnisa Nur Amanda</cp:lastModifiedBy>
  <dcterms:created xsi:type="dcterms:W3CDTF">2026-10-22T04:42:33Z</dcterms:created>
  <dcterms:modified xsi:type="dcterms:W3CDTF">2026-10-22T05:51:59Z</dcterms:modified>
</cp:coreProperties>
</file>